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esktop\design of bridge\"/>
    </mc:Choice>
  </mc:AlternateContent>
  <xr:revisionPtr revIDLastSave="0" documentId="13_ncr:1_{9E1D1614-CBE4-4494-93FA-20069C55C983}" xr6:coauthVersionLast="47" xr6:coauthVersionMax="47" xr10:uidLastSave="{00000000-0000-0000-0000-000000000000}"/>
  <bookViews>
    <workbookView xWindow="-108" yWindow="-108" windowWidth="23256" windowHeight="12456" activeTab="2" xr2:uid="{37A40471-3208-4444-B750-80963148FFAE}"/>
  </bookViews>
  <sheets>
    <sheet name="abutment design" sheetId="1" r:id="rId1"/>
    <sheet name="Sheet2" sheetId="2" r:id="rId2"/>
    <sheet name="pile design" sheetId="5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40" i="5" l="1"/>
  <c r="H532" i="5"/>
  <c r="H325" i="1"/>
  <c r="F325" i="1"/>
  <c r="D3" i="1" l="1"/>
  <c r="D4" i="1"/>
  <c r="P362" i="1" l="1"/>
  <c r="P363" i="1"/>
  <c r="P353" i="1"/>
  <c r="P354" i="1"/>
  <c r="P355" i="1"/>
  <c r="P356" i="1"/>
  <c r="P357" i="1"/>
  <c r="P358" i="1"/>
  <c r="P359" i="1"/>
  <c r="P351" i="1"/>
  <c r="O352" i="1"/>
  <c r="O353" i="1"/>
  <c r="O354" i="1"/>
  <c r="O355" i="1"/>
  <c r="O356" i="1"/>
  <c r="O357" i="1"/>
  <c r="O358" i="1"/>
  <c r="O359" i="1"/>
  <c r="O351" i="1"/>
  <c r="N353" i="1"/>
  <c r="N354" i="1"/>
  <c r="N355" i="1"/>
  <c r="N356" i="1"/>
  <c r="N357" i="1"/>
  <c r="N358" i="1"/>
  <c r="N359" i="1"/>
  <c r="N351" i="1"/>
  <c r="K362" i="1"/>
  <c r="K363" i="1"/>
  <c r="K353" i="1"/>
  <c r="K354" i="1"/>
  <c r="K355" i="1"/>
  <c r="K356" i="1"/>
  <c r="K357" i="1"/>
  <c r="K358" i="1"/>
  <c r="K359" i="1"/>
  <c r="K351" i="1"/>
  <c r="J362" i="1"/>
  <c r="J363" i="1"/>
  <c r="J352" i="1"/>
  <c r="J353" i="1"/>
  <c r="J354" i="1"/>
  <c r="J355" i="1"/>
  <c r="J356" i="1"/>
  <c r="J357" i="1"/>
  <c r="J358" i="1"/>
  <c r="J359" i="1"/>
  <c r="J351" i="1"/>
  <c r="I353" i="1"/>
  <c r="I354" i="1"/>
  <c r="I355" i="1"/>
  <c r="I356" i="1"/>
  <c r="I357" i="1"/>
  <c r="I358" i="1"/>
  <c r="I359" i="1"/>
  <c r="I351" i="1"/>
  <c r="O363" i="1"/>
  <c r="O362" i="1"/>
  <c r="O361" i="1"/>
  <c r="D259" i="1"/>
  <c r="F79" i="1"/>
  <c r="H537" i="5"/>
  <c r="I533" i="5"/>
  <c r="E534" i="5" s="1"/>
  <c r="I501" i="5"/>
  <c r="E538" i="5"/>
  <c r="B540" i="5"/>
  <c r="G542" i="5" s="1"/>
  <c r="B539" i="5"/>
  <c r="B537" i="5"/>
  <c r="E495" i="5"/>
  <c r="D495" i="5"/>
  <c r="B495" i="5"/>
  <c r="F460" i="5"/>
  <c r="D462" i="5"/>
  <c r="D489" i="5" s="1"/>
  <c r="D490" i="5" s="1"/>
  <c r="D464" i="5"/>
  <c r="J464" i="5"/>
  <c r="D465" i="5"/>
  <c r="G519" i="5" s="1"/>
  <c r="C495" i="5"/>
  <c r="I512" i="5"/>
  <c r="I514" i="5"/>
  <c r="I515" i="5"/>
  <c r="I516" i="5" s="1"/>
  <c r="D520" i="5"/>
  <c r="D526" i="5"/>
  <c r="D533" i="5"/>
  <c r="D460" i="5" s="1"/>
  <c r="E545" i="5"/>
  <c r="E547" i="5"/>
  <c r="B542" i="5" l="1"/>
  <c r="E542" i="5" s="1"/>
  <c r="D461" i="5"/>
  <c r="F461" i="5" s="1"/>
  <c r="I507" i="5"/>
  <c r="J461" i="5"/>
  <c r="J463" i="5" s="1"/>
  <c r="D476" i="5"/>
  <c r="D475" i="5"/>
  <c r="D477" i="5" s="1"/>
  <c r="K433" i="5"/>
  <c r="B538" i="5" l="1"/>
  <c r="G528" i="5"/>
  <c r="G522" i="5"/>
  <c r="D485" i="5"/>
  <c r="M414" i="5"/>
  <c r="L408" i="5"/>
  <c r="L409" i="5"/>
  <c r="L410" i="5"/>
  <c r="L412" i="5"/>
  <c r="L414" i="5"/>
  <c r="L416" i="5"/>
  <c r="L407" i="5"/>
  <c r="K411" i="5"/>
  <c r="K413" i="5"/>
  <c r="K414" i="5"/>
  <c r="K415" i="5"/>
  <c r="K417" i="5"/>
  <c r="F414" i="5"/>
  <c r="E408" i="5"/>
  <c r="E409" i="5"/>
  <c r="E410" i="5"/>
  <c r="E412" i="5"/>
  <c r="E414" i="5"/>
  <c r="E416" i="5"/>
  <c r="E407" i="5"/>
  <c r="D417" i="5"/>
  <c r="D415" i="5"/>
  <c r="D411" i="5"/>
  <c r="D413" i="5"/>
  <c r="W227" i="5" l="1"/>
  <c r="W233" i="5" s="1"/>
  <c r="G4" i="1" l="1"/>
  <c r="G3" i="1"/>
  <c r="D5" i="1"/>
  <c r="E372" i="1"/>
  <c r="E352" i="1"/>
  <c r="E353" i="1"/>
  <c r="E354" i="1"/>
  <c r="E356" i="1"/>
  <c r="E351" i="1"/>
  <c r="D355" i="1"/>
  <c r="D357" i="1"/>
  <c r="D358" i="1"/>
  <c r="D359" i="1"/>
  <c r="K12" i="1"/>
  <c r="N26" i="1"/>
  <c r="L26" i="1"/>
  <c r="M18" i="1"/>
  <c r="L18" i="1"/>
  <c r="M37" i="1"/>
  <c r="D314" i="1"/>
  <c r="G321" i="1"/>
  <c r="E324" i="1" s="1"/>
  <c r="F319" i="1"/>
  <c r="F318" i="1"/>
  <c r="F317" i="1"/>
  <c r="G385" i="5" l="1"/>
  <c r="G386" i="5" s="1"/>
  <c r="I383" i="5"/>
  <c r="D371" i="5"/>
  <c r="D372" i="5"/>
  <c r="D373" i="5"/>
  <c r="D374" i="5"/>
  <c r="D375" i="5"/>
  <c r="D376" i="5"/>
  <c r="D330" i="5"/>
  <c r="B331" i="5"/>
  <c r="D331" i="5" s="1"/>
  <c r="D297" i="5"/>
  <c r="B332" i="5" l="1"/>
  <c r="D332" i="5" s="1"/>
  <c r="B333" i="5" l="1"/>
  <c r="D333" i="5" s="1"/>
  <c r="B334" i="5" l="1"/>
  <c r="D334" i="5" s="1"/>
  <c r="B335" i="5" l="1"/>
  <c r="D335" i="5" s="1"/>
  <c r="B336" i="5" l="1"/>
  <c r="D336" i="5" s="1"/>
  <c r="B337" i="5" l="1"/>
  <c r="D337" i="5" s="1"/>
  <c r="B338" i="5" l="1"/>
  <c r="D338" i="5" s="1"/>
  <c r="B339" i="5" l="1"/>
  <c r="D339" i="5" s="1"/>
  <c r="B340" i="5" l="1"/>
  <c r="D340" i="5" s="1"/>
  <c r="B341" i="5" l="1"/>
  <c r="D341" i="5" s="1"/>
  <c r="B342" i="5" l="1"/>
  <c r="D342" i="5" s="1"/>
  <c r="B343" i="5" l="1"/>
  <c r="D343" i="5" s="1"/>
  <c r="B344" i="5" l="1"/>
  <c r="D344" i="5" s="1"/>
  <c r="B345" i="5" l="1"/>
  <c r="D345" i="5" l="1"/>
  <c r="B346" i="5"/>
  <c r="D346" i="5" s="1"/>
  <c r="B347" i="5" l="1"/>
  <c r="D347" i="5" s="1"/>
  <c r="B348" i="5" l="1"/>
  <c r="D348" i="5" s="1"/>
  <c r="B349" i="5" l="1"/>
  <c r="D349" i="5" s="1"/>
  <c r="B350" i="5" l="1"/>
  <c r="D350" i="5" s="1"/>
  <c r="B351" i="5" l="1"/>
  <c r="D351" i="5" s="1"/>
  <c r="B352" i="5" l="1"/>
  <c r="D352" i="5" s="1"/>
  <c r="B353" i="5" l="1"/>
  <c r="D353" i="5" s="1"/>
  <c r="B354" i="5" l="1"/>
  <c r="D354" i="5" s="1"/>
  <c r="B355" i="5" l="1"/>
  <c r="D355" i="5" l="1"/>
  <c r="B356" i="5"/>
  <c r="D356" i="5" s="1"/>
  <c r="B357" i="5" l="1"/>
  <c r="D357" i="5" s="1"/>
  <c r="B358" i="5" l="1"/>
  <c r="D358" i="5" s="1"/>
  <c r="B359" i="5" l="1"/>
  <c r="D359" i="5" s="1"/>
  <c r="B360" i="5" l="1"/>
  <c r="D360" i="5" s="1"/>
  <c r="B361" i="5" l="1"/>
  <c r="D361" i="5" s="1"/>
  <c r="B362" i="5" l="1"/>
  <c r="D362" i="5" s="1"/>
  <c r="B363" i="5" l="1"/>
  <c r="D363" i="5" s="1"/>
  <c r="B364" i="5" l="1"/>
  <c r="D364" i="5" s="1"/>
  <c r="B365" i="5" l="1"/>
  <c r="D365" i="5" s="1"/>
  <c r="B366" i="5" l="1"/>
  <c r="D366" i="5" s="1"/>
  <c r="B367" i="5" l="1"/>
  <c r="D367" i="5" s="1"/>
  <c r="B368" i="5" l="1"/>
  <c r="D368" i="5" s="1"/>
  <c r="B369" i="5" l="1"/>
  <c r="D369" i="5" s="1"/>
  <c r="B370" i="5" l="1"/>
  <c r="D370" i="5" s="1"/>
  <c r="C290" i="5" l="1"/>
  <c r="C289" i="5"/>
  <c r="C323" i="5" s="1"/>
  <c r="G389" i="5" s="1"/>
  <c r="C321" i="5"/>
  <c r="C47" i="2"/>
  <c r="G259" i="5"/>
  <c r="I259" i="5" s="1"/>
  <c r="F259" i="5"/>
  <c r="H259" i="5" s="1"/>
  <c r="G258" i="5"/>
  <c r="I258" i="5" s="1"/>
  <c r="G257" i="5"/>
  <c r="I257" i="5" s="1"/>
  <c r="F257" i="5"/>
  <c r="H257" i="5" s="1"/>
  <c r="F256" i="5"/>
  <c r="H256" i="5" s="1"/>
  <c r="G254" i="5"/>
  <c r="I254" i="5" s="1"/>
  <c r="F254" i="5"/>
  <c r="H254" i="5" s="1"/>
  <c r="G253" i="5"/>
  <c r="I253" i="5" s="1"/>
  <c r="F253" i="5"/>
  <c r="H253" i="5" s="1"/>
  <c r="I255" i="5"/>
  <c r="I256" i="5"/>
  <c r="H252" i="5"/>
  <c r="H255" i="5"/>
  <c r="H258" i="5"/>
  <c r="G252" i="5"/>
  <c r="I252" i="5" s="1"/>
  <c r="G251" i="5"/>
  <c r="I251" i="5" s="1"/>
  <c r="F251" i="5"/>
  <c r="H251" i="5" s="1"/>
  <c r="N218" i="5"/>
  <c r="K429" i="5" s="1"/>
  <c r="N217" i="5"/>
  <c r="K428" i="5" s="1"/>
  <c r="K432" i="5" l="1"/>
  <c r="D296" i="5"/>
  <c r="D466" i="5"/>
  <c r="D298" i="5"/>
  <c r="D305" i="5" s="1"/>
  <c r="D303" i="5"/>
  <c r="C322" i="5"/>
  <c r="H260" i="5"/>
  <c r="I260" i="5"/>
  <c r="D307" i="5"/>
  <c r="J388" i="5" l="1"/>
  <c r="D392" i="5" s="1"/>
  <c r="D515" i="5"/>
  <c r="E468" i="5"/>
  <c r="L479" i="5"/>
  <c r="D479" i="5" s="1"/>
  <c r="D467" i="5"/>
  <c r="D300" i="5"/>
  <c r="D301" i="5"/>
  <c r="D308" i="5"/>
  <c r="D391" i="5"/>
  <c r="E375" i="5"/>
  <c r="F375" i="5" s="1"/>
  <c r="E372" i="5"/>
  <c r="F372" i="5" s="1"/>
  <c r="E373" i="5"/>
  <c r="F373" i="5" s="1"/>
  <c r="E374" i="5"/>
  <c r="F374" i="5" s="1"/>
  <c r="E331" i="5"/>
  <c r="E376" i="5"/>
  <c r="F376" i="5" s="1"/>
  <c r="E332" i="5"/>
  <c r="F332" i="5" s="1"/>
  <c r="E333" i="5"/>
  <c r="F333" i="5" s="1"/>
  <c r="E334" i="5"/>
  <c r="F334" i="5" s="1"/>
  <c r="E335" i="5"/>
  <c r="F335" i="5" s="1"/>
  <c r="E336" i="5"/>
  <c r="F336" i="5" s="1"/>
  <c r="E337" i="5"/>
  <c r="F337" i="5" s="1"/>
  <c r="E338" i="5"/>
  <c r="F338" i="5" s="1"/>
  <c r="E339" i="5"/>
  <c r="F339" i="5" s="1"/>
  <c r="E340" i="5"/>
  <c r="F340" i="5" s="1"/>
  <c r="E341" i="5"/>
  <c r="F341" i="5" s="1"/>
  <c r="E342" i="5"/>
  <c r="F342" i="5" s="1"/>
  <c r="E343" i="5"/>
  <c r="F343" i="5" s="1"/>
  <c r="E344" i="5"/>
  <c r="F344" i="5" s="1"/>
  <c r="E345" i="5"/>
  <c r="F345" i="5" s="1"/>
  <c r="E346" i="5"/>
  <c r="F346" i="5" s="1"/>
  <c r="E347" i="5"/>
  <c r="F347" i="5" s="1"/>
  <c r="E348" i="5"/>
  <c r="F348" i="5" s="1"/>
  <c r="E349" i="5"/>
  <c r="F349" i="5" s="1"/>
  <c r="E350" i="5"/>
  <c r="F350" i="5" s="1"/>
  <c r="E351" i="5"/>
  <c r="F351" i="5" s="1"/>
  <c r="E352" i="5"/>
  <c r="F352" i="5" s="1"/>
  <c r="E353" i="5"/>
  <c r="F353" i="5" s="1"/>
  <c r="E354" i="5"/>
  <c r="F354" i="5" s="1"/>
  <c r="E355" i="5"/>
  <c r="F355" i="5" s="1"/>
  <c r="E356" i="5"/>
  <c r="F356" i="5" s="1"/>
  <c r="E357" i="5"/>
  <c r="F357" i="5" s="1"/>
  <c r="E358" i="5"/>
  <c r="F358" i="5" s="1"/>
  <c r="E359" i="5"/>
  <c r="F359" i="5" s="1"/>
  <c r="E360" i="5"/>
  <c r="F360" i="5" s="1"/>
  <c r="E361" i="5"/>
  <c r="F361" i="5" s="1"/>
  <c r="E362" i="5"/>
  <c r="F362" i="5" s="1"/>
  <c r="E363" i="5"/>
  <c r="F363" i="5" s="1"/>
  <c r="E364" i="5"/>
  <c r="F364" i="5" s="1"/>
  <c r="E365" i="5"/>
  <c r="F365" i="5" s="1"/>
  <c r="E366" i="5"/>
  <c r="F366" i="5" s="1"/>
  <c r="E367" i="5"/>
  <c r="F367" i="5" s="1"/>
  <c r="E368" i="5"/>
  <c r="F368" i="5" s="1"/>
  <c r="E369" i="5"/>
  <c r="F369" i="5" s="1"/>
  <c r="E371" i="5"/>
  <c r="F371" i="5" s="1"/>
  <c r="E370" i="5"/>
  <c r="F370" i="5" s="1"/>
  <c r="G321" i="5"/>
  <c r="G320" i="5"/>
  <c r="F544" i="5" l="1"/>
  <c r="H544" i="5" s="1"/>
  <c r="H545" i="5" s="1"/>
  <c r="H546" i="5" s="1"/>
  <c r="D528" i="5"/>
  <c r="D522" i="5"/>
  <c r="D523" i="5" s="1"/>
  <c r="G523" i="5"/>
  <c r="D480" i="5"/>
  <c r="D481" i="5" s="1"/>
  <c r="D471" i="5"/>
  <c r="D484" i="5" s="1"/>
  <c r="J480" i="5"/>
  <c r="J389" i="5"/>
  <c r="D394" i="5" s="1"/>
  <c r="F395" i="5" s="1"/>
  <c r="F396" i="5" s="1"/>
  <c r="D454" i="5"/>
  <c r="T196" i="5"/>
  <c r="S190" i="5"/>
  <c r="S191" i="5"/>
  <c r="S192" i="5"/>
  <c r="S194" i="5"/>
  <c r="S196" i="5"/>
  <c r="S198" i="5"/>
  <c r="S189" i="5"/>
  <c r="R202" i="5"/>
  <c r="R203" i="5"/>
  <c r="R204" i="5"/>
  <c r="R201" i="5"/>
  <c r="R193" i="5"/>
  <c r="R195" i="5"/>
  <c r="R196" i="5"/>
  <c r="R197" i="5"/>
  <c r="R199" i="5"/>
  <c r="K202" i="5"/>
  <c r="K203" i="5"/>
  <c r="K204" i="5"/>
  <c r="K201" i="5"/>
  <c r="M196" i="5"/>
  <c r="L190" i="5"/>
  <c r="L191" i="5"/>
  <c r="L192" i="5"/>
  <c r="L194" i="5"/>
  <c r="L196" i="5"/>
  <c r="L198" i="5"/>
  <c r="L189" i="5"/>
  <c r="K193" i="5"/>
  <c r="K195" i="5"/>
  <c r="K196" i="5"/>
  <c r="K197" i="5"/>
  <c r="K199" i="5"/>
  <c r="F196" i="5"/>
  <c r="E190" i="5"/>
  <c r="E191" i="5"/>
  <c r="E192" i="5"/>
  <c r="E194" i="5"/>
  <c r="E196" i="5"/>
  <c r="E198" i="5"/>
  <c r="E189" i="5"/>
  <c r="D202" i="5"/>
  <c r="D203" i="5"/>
  <c r="D204" i="5"/>
  <c r="D201" i="5"/>
  <c r="D196" i="5"/>
  <c r="D197" i="5"/>
  <c r="D199" i="5"/>
  <c r="D193" i="5"/>
  <c r="D195" i="5"/>
  <c r="E204" i="5"/>
  <c r="E203" i="5"/>
  <c r="E202" i="5"/>
  <c r="E201" i="5"/>
  <c r="G156" i="5"/>
  <c r="G135" i="5"/>
  <c r="E113" i="5"/>
  <c r="F79" i="5"/>
  <c r="H180" i="5"/>
  <c r="H149" i="5"/>
  <c r="H144" i="5"/>
  <c r="H143" i="5"/>
  <c r="D122" i="5"/>
  <c r="D123" i="5" s="1"/>
  <c r="E140" i="5" s="1"/>
  <c r="D99" i="5"/>
  <c r="D93" i="5"/>
  <c r="D95" i="5" s="1"/>
  <c r="D91" i="5"/>
  <c r="D94" i="5" s="1"/>
  <c r="H75" i="5"/>
  <c r="H74" i="5"/>
  <c r="D79" i="5" s="1"/>
  <c r="D82" i="5" s="1"/>
  <c r="F176" i="5" s="1"/>
  <c r="D62" i="5"/>
  <c r="H147" i="5" s="1"/>
  <c r="G151" i="5" s="1"/>
  <c r="G60" i="5"/>
  <c r="H142" i="5" s="1"/>
  <c r="E46" i="5"/>
  <c r="G33" i="5"/>
  <c r="E54" i="5" s="1"/>
  <c r="G30" i="5"/>
  <c r="E45" i="5" s="1"/>
  <c r="G24" i="5"/>
  <c r="D46" i="5" s="1"/>
  <c r="D7" i="5"/>
  <c r="D55" i="5" s="1"/>
  <c r="D6" i="5"/>
  <c r="G5" i="5"/>
  <c r="D5" i="5"/>
  <c r="G4" i="5"/>
  <c r="D4" i="5"/>
  <c r="G3" i="5"/>
  <c r="D3" i="5"/>
  <c r="D93" i="1"/>
  <c r="D248" i="2"/>
  <c r="D249" i="2"/>
  <c r="D250" i="2"/>
  <c r="D251" i="2"/>
  <c r="D252" i="2"/>
  <c r="D253" i="2"/>
  <c r="D254" i="2"/>
  <c r="D255" i="2"/>
  <c r="D256" i="2"/>
  <c r="D247" i="2"/>
  <c r="D61" i="5"/>
  <c r="D531" i="5" l="1"/>
  <c r="D529" i="5"/>
  <c r="R198" i="5"/>
  <c r="K416" i="5"/>
  <c r="D416" i="5"/>
  <c r="M202" i="5"/>
  <c r="M420" i="5"/>
  <c r="F420" i="5"/>
  <c r="T202" i="5"/>
  <c r="D56" i="5"/>
  <c r="F170" i="5" s="1"/>
  <c r="K198" i="5"/>
  <c r="D54" i="5"/>
  <c r="F168" i="5" s="1"/>
  <c r="D198" i="5"/>
  <c r="F202" i="5"/>
  <c r="D96" i="5"/>
  <c r="D102" i="5" s="1"/>
  <c r="D103" i="5" s="1"/>
  <c r="G175" i="5"/>
  <c r="E55" i="5"/>
  <c r="E56" i="5" s="1"/>
  <c r="F82" i="5"/>
  <c r="D8" i="5"/>
  <c r="E135" i="5" s="1"/>
  <c r="F135" i="5" s="1"/>
  <c r="G179" i="5" s="1"/>
  <c r="D45" i="5"/>
  <c r="E129" i="5" s="1"/>
  <c r="F129" i="5" s="1"/>
  <c r="E69" i="5"/>
  <c r="D63" i="5"/>
  <c r="D64" i="5" s="1"/>
  <c r="D108" i="5"/>
  <c r="D112" i="5" s="1"/>
  <c r="D113" i="5" s="1"/>
  <c r="E141" i="5"/>
  <c r="F169" i="5"/>
  <c r="F46" i="5"/>
  <c r="E130" i="5"/>
  <c r="F130" i="5" s="1"/>
  <c r="H79" i="5"/>
  <c r="H175" i="5" s="1"/>
  <c r="E70" i="5"/>
  <c r="F54" i="5"/>
  <c r="H168" i="5" s="1"/>
  <c r="G26" i="5"/>
  <c r="M9" i="2"/>
  <c r="M8" i="2"/>
  <c r="H531" i="5" l="1"/>
  <c r="G534" i="5"/>
  <c r="D409" i="5"/>
  <c r="K409" i="5"/>
  <c r="S197" i="5"/>
  <c r="L415" i="5"/>
  <c r="E415" i="5"/>
  <c r="T190" i="5"/>
  <c r="M408" i="5"/>
  <c r="F408" i="5"/>
  <c r="D410" i="5"/>
  <c r="K410" i="5"/>
  <c r="T197" i="5"/>
  <c r="F415" i="5"/>
  <c r="M415" i="5"/>
  <c r="D408" i="5"/>
  <c r="K408" i="5"/>
  <c r="L419" i="5"/>
  <c r="E419" i="5"/>
  <c r="L201" i="5"/>
  <c r="S201" i="5"/>
  <c r="F56" i="5"/>
  <c r="H170" i="5" s="1"/>
  <c r="M192" i="5" s="1"/>
  <c r="M197" i="5"/>
  <c r="F197" i="5"/>
  <c r="D190" i="5"/>
  <c r="R190" i="5"/>
  <c r="K190" i="5"/>
  <c r="D192" i="5"/>
  <c r="K192" i="5"/>
  <c r="R192" i="5"/>
  <c r="F55" i="5"/>
  <c r="H169" i="5" s="1"/>
  <c r="L197" i="5"/>
  <c r="E197" i="5"/>
  <c r="M190" i="5"/>
  <c r="F190" i="5"/>
  <c r="D191" i="5"/>
  <c r="R191" i="5"/>
  <c r="K191" i="5"/>
  <c r="H135" i="5"/>
  <c r="H179" i="5" s="1"/>
  <c r="F45" i="5"/>
  <c r="G128" i="5"/>
  <c r="G130" i="5"/>
  <c r="G129" i="5"/>
  <c r="H129" i="5" s="1"/>
  <c r="F103" i="5"/>
  <c r="H103" i="5" s="1"/>
  <c r="H177" i="5" s="1"/>
  <c r="H82" i="5"/>
  <c r="H176" i="5" s="1"/>
  <c r="F113" i="5"/>
  <c r="H173" i="5" s="1"/>
  <c r="G173" i="5"/>
  <c r="D70" i="5"/>
  <c r="D69" i="5"/>
  <c r="H130" i="5"/>
  <c r="D44" i="5"/>
  <c r="G177" i="5"/>
  <c r="E142" i="5"/>
  <c r="G267" i="2"/>
  <c r="D210" i="2"/>
  <c r="G263" i="2"/>
  <c r="G264" i="2" s="1"/>
  <c r="I261" i="2"/>
  <c r="G262" i="2" s="1"/>
  <c r="B211" i="2"/>
  <c r="B212" i="2" s="1"/>
  <c r="D212" i="2" s="1"/>
  <c r="C203" i="2"/>
  <c r="D179" i="2"/>
  <c r="C172" i="2"/>
  <c r="D178" i="2" s="1"/>
  <c r="C171" i="2"/>
  <c r="C205" i="2" s="1"/>
  <c r="E145" i="5"/>
  <c r="F192" i="5" l="1"/>
  <c r="S195" i="5"/>
  <c r="L413" i="5"/>
  <c r="E413" i="5"/>
  <c r="T198" i="5"/>
  <c r="M416" i="5"/>
  <c r="F416" i="5"/>
  <c r="T192" i="5"/>
  <c r="M410" i="5"/>
  <c r="F410" i="5"/>
  <c r="T201" i="5"/>
  <c r="F419" i="5"/>
  <c r="M419" i="5"/>
  <c r="T199" i="5"/>
  <c r="M417" i="5"/>
  <c r="F417" i="5"/>
  <c r="T195" i="5"/>
  <c r="M413" i="5"/>
  <c r="F413" i="5"/>
  <c r="T191" i="5"/>
  <c r="M409" i="5"/>
  <c r="F409" i="5"/>
  <c r="S199" i="5"/>
  <c r="L417" i="5"/>
  <c r="E417" i="5"/>
  <c r="M195" i="5"/>
  <c r="F195" i="5"/>
  <c r="M198" i="5"/>
  <c r="F198" i="5"/>
  <c r="F199" i="5"/>
  <c r="M199" i="5"/>
  <c r="M191" i="5"/>
  <c r="F191" i="5"/>
  <c r="L199" i="5"/>
  <c r="E199" i="5"/>
  <c r="L195" i="5"/>
  <c r="E195" i="5"/>
  <c r="M201" i="5"/>
  <c r="F201" i="5"/>
  <c r="E147" i="5"/>
  <c r="G171" i="5"/>
  <c r="F69" i="5"/>
  <c r="H171" i="5" s="1"/>
  <c r="E128" i="5"/>
  <c r="F128" i="5" s="1"/>
  <c r="F44" i="5"/>
  <c r="F47" i="5" s="1"/>
  <c r="H167" i="5" s="1"/>
  <c r="D47" i="5"/>
  <c r="F167" i="5" s="1"/>
  <c r="F172" i="5"/>
  <c r="F70" i="5"/>
  <c r="H172" i="5" s="1"/>
  <c r="D211" i="2"/>
  <c r="J267" i="2"/>
  <c r="D180" i="2"/>
  <c r="D190" i="2" s="1"/>
  <c r="B213" i="2"/>
  <c r="D213" i="2" s="1"/>
  <c r="D185" i="2"/>
  <c r="C204" i="2"/>
  <c r="S193" i="5" l="1"/>
  <c r="L411" i="5"/>
  <c r="E411" i="5"/>
  <c r="D407" i="5"/>
  <c r="D423" i="5" s="1"/>
  <c r="E430" i="5" s="1"/>
  <c r="K407" i="5"/>
  <c r="K423" i="5" s="1"/>
  <c r="F430" i="5" s="1"/>
  <c r="T194" i="5"/>
  <c r="M412" i="5"/>
  <c r="F412" i="5"/>
  <c r="D412" i="5"/>
  <c r="K412" i="5"/>
  <c r="T189" i="5"/>
  <c r="M407" i="5"/>
  <c r="F407" i="5"/>
  <c r="T193" i="5"/>
  <c r="M411" i="5"/>
  <c r="F411" i="5"/>
  <c r="D194" i="5"/>
  <c r="R194" i="5"/>
  <c r="K194" i="5"/>
  <c r="M189" i="5"/>
  <c r="F189" i="5"/>
  <c r="L193" i="5"/>
  <c r="E193" i="5"/>
  <c r="E206" i="5" s="1"/>
  <c r="C212" i="5" s="1"/>
  <c r="D189" i="5"/>
  <c r="D206" i="5" s="1"/>
  <c r="C211" i="5" s="1"/>
  <c r="K189" i="5"/>
  <c r="R189" i="5"/>
  <c r="R206" i="5" s="1"/>
  <c r="E211" i="5" s="1"/>
  <c r="M194" i="5"/>
  <c r="F194" i="5"/>
  <c r="M193" i="5"/>
  <c r="F193" i="5"/>
  <c r="E149" i="5"/>
  <c r="E151" i="5" s="1"/>
  <c r="E156" i="5"/>
  <c r="H128" i="5"/>
  <c r="H132" i="5" s="1"/>
  <c r="F132" i="5"/>
  <c r="G180" i="5" s="1"/>
  <c r="E252" i="2"/>
  <c r="F252" i="2" s="1"/>
  <c r="E255" i="2"/>
  <c r="F255" i="2" s="1"/>
  <c r="E253" i="2"/>
  <c r="F253" i="2" s="1"/>
  <c r="E254" i="2"/>
  <c r="F254" i="2" s="1"/>
  <c r="E256" i="2"/>
  <c r="F256" i="2" s="1"/>
  <c r="J266" i="2"/>
  <c r="E211" i="2"/>
  <c r="F211" i="2" s="1"/>
  <c r="E212" i="2"/>
  <c r="F212" i="2" s="1"/>
  <c r="E213" i="2"/>
  <c r="F213" i="2" s="1"/>
  <c r="D187" i="2"/>
  <c r="D182" i="2"/>
  <c r="D183" i="2"/>
  <c r="B214" i="2"/>
  <c r="D214" i="2" s="1"/>
  <c r="G202" i="2"/>
  <c r="G203" i="2"/>
  <c r="C104" i="2"/>
  <c r="E108" i="2"/>
  <c r="E109" i="2"/>
  <c r="E110" i="2"/>
  <c r="E111" i="2"/>
  <c r="E112" i="2"/>
  <c r="E113" i="2"/>
  <c r="E114" i="2"/>
  <c r="E115" i="2"/>
  <c r="E107" i="2"/>
  <c r="D108" i="2"/>
  <c r="D109" i="2"/>
  <c r="D110" i="2"/>
  <c r="D111" i="2"/>
  <c r="D112" i="2"/>
  <c r="D113" i="2"/>
  <c r="D114" i="2"/>
  <c r="D115" i="2"/>
  <c r="D107" i="2"/>
  <c r="C103" i="2"/>
  <c r="I447" i="5" l="1"/>
  <c r="I440" i="5"/>
  <c r="I439" i="5"/>
  <c r="I441" i="5"/>
  <c r="I442" i="5"/>
  <c r="I443" i="5"/>
  <c r="I444" i="5"/>
  <c r="I445" i="5"/>
  <c r="I446" i="5"/>
  <c r="B440" i="5"/>
  <c r="B441" i="5"/>
  <c r="B445" i="5"/>
  <c r="B443" i="5"/>
  <c r="B439" i="5"/>
  <c r="B446" i="5"/>
  <c r="B444" i="5"/>
  <c r="B447" i="5"/>
  <c r="B442" i="5"/>
  <c r="L420" i="5"/>
  <c r="E420" i="5"/>
  <c r="A267" i="5"/>
  <c r="A270" i="5"/>
  <c r="A271" i="5"/>
  <c r="A272" i="5"/>
  <c r="A273" i="5"/>
  <c r="A269" i="5"/>
  <c r="A274" i="5"/>
  <c r="A275" i="5"/>
  <c r="A268" i="5"/>
  <c r="K275" i="5"/>
  <c r="K268" i="5"/>
  <c r="K267" i="5"/>
  <c r="K269" i="5"/>
  <c r="K273" i="5"/>
  <c r="K270" i="5"/>
  <c r="K274" i="5"/>
  <c r="K271" i="5"/>
  <c r="K272" i="5"/>
  <c r="B270" i="5"/>
  <c r="B271" i="5"/>
  <c r="B272" i="5"/>
  <c r="B273" i="5"/>
  <c r="B274" i="5"/>
  <c r="B268" i="5"/>
  <c r="B275" i="5"/>
  <c r="B269" i="5"/>
  <c r="B267" i="5"/>
  <c r="L202" i="5"/>
  <c r="S202" i="5"/>
  <c r="K206" i="5"/>
  <c r="D211" i="5" s="1"/>
  <c r="G182" i="5"/>
  <c r="I156" i="5"/>
  <c r="H182" i="5" s="1"/>
  <c r="G181" i="5"/>
  <c r="I151" i="5"/>
  <c r="H181" i="5" s="1"/>
  <c r="E214" i="2"/>
  <c r="F214" i="2" s="1"/>
  <c r="D270" i="2"/>
  <c r="D269" i="2"/>
  <c r="B215" i="2"/>
  <c r="E116" i="2"/>
  <c r="D116" i="2"/>
  <c r="C70" i="2"/>
  <c r="C71" i="2"/>
  <c r="C72" i="2"/>
  <c r="C74" i="2"/>
  <c r="C78" i="2"/>
  <c r="C69" i="2"/>
  <c r="B73" i="2"/>
  <c r="B75" i="2"/>
  <c r="B76" i="2"/>
  <c r="B77" i="2"/>
  <c r="B78" i="2"/>
  <c r="B79" i="2"/>
  <c r="B80" i="2"/>
  <c r="B81" i="2"/>
  <c r="B82" i="2"/>
  <c r="C48" i="2"/>
  <c r="C49" i="2"/>
  <c r="C50" i="2"/>
  <c r="C52" i="2"/>
  <c r="C56" i="2"/>
  <c r="B51" i="2"/>
  <c r="B53" i="2"/>
  <c r="B54" i="2"/>
  <c r="B55" i="2"/>
  <c r="B56" i="2"/>
  <c r="B57" i="2"/>
  <c r="B58" i="2"/>
  <c r="B59" i="2"/>
  <c r="B60" i="2"/>
  <c r="C27" i="2"/>
  <c r="C28" i="2"/>
  <c r="C29" i="2"/>
  <c r="C31" i="2"/>
  <c r="C35" i="2"/>
  <c r="C26" i="2"/>
  <c r="B30" i="2"/>
  <c r="B32" i="2"/>
  <c r="B33" i="2"/>
  <c r="B34" i="2"/>
  <c r="B35" i="2"/>
  <c r="B36" i="2"/>
  <c r="B37" i="2"/>
  <c r="B38" i="2"/>
  <c r="B39" i="2"/>
  <c r="T203" i="5" l="1"/>
  <c r="M421" i="5"/>
  <c r="F421" i="5"/>
  <c r="E422" i="5"/>
  <c r="L422" i="5"/>
  <c r="L421" i="5"/>
  <c r="E421" i="5"/>
  <c r="T204" i="5"/>
  <c r="M422" i="5"/>
  <c r="F422" i="5"/>
  <c r="F273" i="5"/>
  <c r="F274" i="5"/>
  <c r="F275" i="5"/>
  <c r="F268" i="5"/>
  <c r="F267" i="5"/>
  <c r="F269" i="5"/>
  <c r="F270" i="5"/>
  <c r="F271" i="5"/>
  <c r="F272" i="5"/>
  <c r="G281" i="5"/>
  <c r="C313" i="5" s="1"/>
  <c r="L204" i="5"/>
  <c r="S204" i="5"/>
  <c r="L203" i="5"/>
  <c r="S203" i="5"/>
  <c r="M204" i="5"/>
  <c r="F204" i="5"/>
  <c r="M203" i="5"/>
  <c r="F203" i="5"/>
  <c r="D272" i="2"/>
  <c r="F273" i="2" s="1"/>
  <c r="F274" i="2" s="1"/>
  <c r="D215" i="2"/>
  <c r="E215" i="2" s="1"/>
  <c r="F215" i="2" s="1"/>
  <c r="B216" i="2"/>
  <c r="D7" i="1"/>
  <c r="D6" i="1"/>
  <c r="G5" i="1"/>
  <c r="D56" i="1"/>
  <c r="F423" i="5" l="1"/>
  <c r="E432" i="5" s="1"/>
  <c r="D440" i="5" s="1"/>
  <c r="M423" i="5"/>
  <c r="F432" i="5" s="1"/>
  <c r="K447" i="5" s="1"/>
  <c r="S206" i="5"/>
  <c r="E212" i="5" s="1"/>
  <c r="D447" i="5"/>
  <c r="T206" i="5"/>
  <c r="E213" i="5" s="1"/>
  <c r="M268" i="5" s="1"/>
  <c r="N268" i="5" s="1"/>
  <c r="L423" i="5"/>
  <c r="F431" i="5" s="1"/>
  <c r="E423" i="5"/>
  <c r="E431" i="5" s="1"/>
  <c r="L206" i="5"/>
  <c r="D212" i="5" s="1"/>
  <c r="G274" i="5" s="1"/>
  <c r="E313" i="5"/>
  <c r="F313" i="5"/>
  <c r="L268" i="5"/>
  <c r="L267" i="5"/>
  <c r="L269" i="5"/>
  <c r="L270" i="5"/>
  <c r="L271" i="5"/>
  <c r="L272" i="5"/>
  <c r="L274" i="5"/>
  <c r="L273" i="5"/>
  <c r="L275" i="5"/>
  <c r="M269" i="5"/>
  <c r="N269" i="5" s="1"/>
  <c r="M271" i="5"/>
  <c r="N271" i="5" s="1"/>
  <c r="M275" i="5"/>
  <c r="N275" i="5" s="1"/>
  <c r="M273" i="5"/>
  <c r="N273" i="5" s="1"/>
  <c r="M206" i="5"/>
  <c r="D213" i="5" s="1"/>
  <c r="F206" i="5"/>
  <c r="C213" i="5" s="1"/>
  <c r="D216" i="2"/>
  <c r="E216" i="2" s="1"/>
  <c r="F216" i="2" s="1"/>
  <c r="B217" i="2"/>
  <c r="H306" i="1"/>
  <c r="F302" i="1"/>
  <c r="G292" i="1"/>
  <c r="D296" i="1"/>
  <c r="D313" i="1" s="1"/>
  <c r="G313" i="1" s="1"/>
  <c r="D292" i="1"/>
  <c r="K446" i="5" l="1"/>
  <c r="L446" i="5" s="1"/>
  <c r="K444" i="5"/>
  <c r="D446" i="5"/>
  <c r="M270" i="5"/>
  <c r="N270" i="5" s="1"/>
  <c r="K442" i="5"/>
  <c r="D445" i="5"/>
  <c r="K445" i="5"/>
  <c r="D439" i="5"/>
  <c r="K443" i="5"/>
  <c r="L443" i="5" s="1"/>
  <c r="D444" i="5"/>
  <c r="M267" i="5"/>
  <c r="N267" i="5" s="1"/>
  <c r="K439" i="5"/>
  <c r="L439" i="5" s="1"/>
  <c r="K441" i="5"/>
  <c r="D443" i="5"/>
  <c r="K440" i="5"/>
  <c r="D441" i="5"/>
  <c r="E441" i="5" s="1"/>
  <c r="D442" i="5"/>
  <c r="E442" i="5" s="1"/>
  <c r="M274" i="5"/>
  <c r="N274" i="5" s="1"/>
  <c r="C446" i="5"/>
  <c r="C440" i="5"/>
  <c r="C447" i="5"/>
  <c r="C441" i="5"/>
  <c r="C442" i="5"/>
  <c r="C444" i="5"/>
  <c r="C443" i="5"/>
  <c r="C445" i="5"/>
  <c r="C439" i="5"/>
  <c r="J440" i="5"/>
  <c r="J439" i="5"/>
  <c r="J441" i="5"/>
  <c r="J443" i="5"/>
  <c r="J444" i="5"/>
  <c r="J446" i="5"/>
  <c r="J445" i="5"/>
  <c r="J447" i="5"/>
  <c r="J442" i="5"/>
  <c r="G268" i="5"/>
  <c r="G272" i="5"/>
  <c r="M272" i="5"/>
  <c r="N272" i="5" s="1"/>
  <c r="G269" i="5"/>
  <c r="G267" i="5"/>
  <c r="G271" i="5"/>
  <c r="G270" i="5"/>
  <c r="G275" i="5"/>
  <c r="L442" i="5"/>
  <c r="E443" i="5"/>
  <c r="L441" i="5"/>
  <c r="E446" i="5"/>
  <c r="L447" i="5"/>
  <c r="E440" i="5"/>
  <c r="L444" i="5"/>
  <c r="E445" i="5"/>
  <c r="E447" i="5"/>
  <c r="E439" i="5"/>
  <c r="E444" i="5"/>
  <c r="L440" i="5"/>
  <c r="L445" i="5"/>
  <c r="G273" i="5"/>
  <c r="D299" i="1"/>
  <c r="E315" i="1"/>
  <c r="G283" i="5"/>
  <c r="C315" i="5" s="1"/>
  <c r="H274" i="5"/>
  <c r="I274" i="5" s="1"/>
  <c r="H275" i="5"/>
  <c r="I275" i="5" s="1"/>
  <c r="H268" i="5"/>
  <c r="I268" i="5" s="1"/>
  <c r="H267" i="5"/>
  <c r="I267" i="5" s="1"/>
  <c r="H273" i="5"/>
  <c r="I273" i="5" s="1"/>
  <c r="H269" i="5"/>
  <c r="I269" i="5" s="1"/>
  <c r="H270" i="5"/>
  <c r="I270" i="5" s="1"/>
  <c r="H272" i="5"/>
  <c r="I272" i="5" s="1"/>
  <c r="H271" i="5"/>
  <c r="I271" i="5" s="1"/>
  <c r="C271" i="5"/>
  <c r="D271" i="5" s="1"/>
  <c r="C272" i="5"/>
  <c r="D272" i="5" s="1"/>
  <c r="C273" i="5"/>
  <c r="D273" i="5" s="1"/>
  <c r="C269" i="5"/>
  <c r="D269" i="5" s="1"/>
  <c r="C270" i="5"/>
  <c r="D270" i="5" s="1"/>
  <c r="C274" i="5"/>
  <c r="D274" i="5" s="1"/>
  <c r="C275" i="5"/>
  <c r="D275" i="5" s="1"/>
  <c r="C268" i="5"/>
  <c r="D268" i="5" s="1"/>
  <c r="C267" i="5"/>
  <c r="D267" i="5" s="1"/>
  <c r="J292" i="1"/>
  <c r="J294" i="1" s="1"/>
  <c r="H302" i="1" s="1"/>
  <c r="D217" i="2"/>
  <c r="E217" i="2" s="1"/>
  <c r="F217" i="2" s="1"/>
  <c r="B218" i="2"/>
  <c r="H283" i="1"/>
  <c r="C515" i="5" l="1"/>
  <c r="F515" i="5" s="1"/>
  <c r="F517" i="5" s="1"/>
  <c r="J525" i="5" s="1"/>
  <c r="N440" i="5"/>
  <c r="L449" i="5"/>
  <c r="N441" i="5"/>
  <c r="F283" i="5"/>
  <c r="B315" i="5" s="1"/>
  <c r="D453" i="5"/>
  <c r="D455" i="5" s="1"/>
  <c r="E449" i="5"/>
  <c r="D452" i="5" s="1"/>
  <c r="G282" i="5"/>
  <c r="C314" i="5" s="1"/>
  <c r="F326" i="1"/>
  <c r="G318" i="1"/>
  <c r="G319" i="1"/>
  <c r="G317" i="1"/>
  <c r="I321" i="1"/>
  <c r="F282" i="5"/>
  <c r="B314" i="5" s="1"/>
  <c r="F281" i="5"/>
  <c r="B313" i="5" s="1"/>
  <c r="E314" i="5"/>
  <c r="F314" i="5"/>
  <c r="E315" i="5"/>
  <c r="F315" i="5"/>
  <c r="J306" i="1"/>
  <c r="D218" i="2"/>
  <c r="E218" i="2" s="1"/>
  <c r="F218" i="2" s="1"/>
  <c r="B219" i="2"/>
  <c r="D491" i="5" l="1"/>
  <c r="D492" i="5" s="1"/>
  <c r="G492" i="5" s="1"/>
  <c r="H465" i="5"/>
  <c r="D472" i="5"/>
  <c r="D473" i="5" s="1"/>
  <c r="D474" i="5" s="1"/>
  <c r="D482" i="5"/>
  <c r="F485" i="5" s="1"/>
  <c r="G485" i="5" s="1"/>
  <c r="D219" i="2"/>
  <c r="E219" i="2" s="1"/>
  <c r="F219" i="2" s="1"/>
  <c r="B220" i="2"/>
  <c r="E274" i="1"/>
  <c r="D260" i="1"/>
  <c r="D262" i="1" s="1"/>
  <c r="D264" i="1" s="1"/>
  <c r="C252" i="1"/>
  <c r="C253" i="1" s="1"/>
  <c r="C246" i="1"/>
  <c r="H238" i="1" s="1"/>
  <c r="C245" i="1"/>
  <c r="C240" i="1"/>
  <c r="C227" i="1"/>
  <c r="C226" i="1"/>
  <c r="C243" i="1" s="1"/>
  <c r="H367" i="1" s="1"/>
  <c r="C222" i="1"/>
  <c r="E220" i="1"/>
  <c r="H221" i="1" l="1"/>
  <c r="E375" i="1"/>
  <c r="E377" i="1" s="1"/>
  <c r="E379" i="1" s="1"/>
  <c r="F477" i="5"/>
  <c r="G477" i="5" s="1"/>
  <c r="D483" i="5"/>
  <c r="C239" i="1"/>
  <c r="E369" i="1"/>
  <c r="H370" i="1" s="1"/>
  <c r="D268" i="1"/>
  <c r="D269" i="1" s="1"/>
  <c r="C244" i="1"/>
  <c r="E376" i="1" s="1"/>
  <c r="D220" i="2"/>
  <c r="E220" i="2" s="1"/>
  <c r="F220" i="2" s="1"/>
  <c r="B221" i="2"/>
  <c r="D211" i="1"/>
  <c r="E284" i="1" l="1"/>
  <c r="H239" i="1"/>
  <c r="D221" i="2"/>
  <c r="E221" i="2" s="1"/>
  <c r="F221" i="2" s="1"/>
  <c r="B222" i="2"/>
  <c r="K195" i="1"/>
  <c r="K196" i="1"/>
  <c r="K197" i="1"/>
  <c r="K194" i="1"/>
  <c r="G195" i="1"/>
  <c r="G196" i="1"/>
  <c r="G197" i="1"/>
  <c r="G194" i="1"/>
  <c r="K188" i="1"/>
  <c r="K190" i="1"/>
  <c r="K191" i="1"/>
  <c r="K192" i="1"/>
  <c r="L185" i="1"/>
  <c r="L186" i="1"/>
  <c r="L187" i="1"/>
  <c r="L189" i="1"/>
  <c r="L184" i="1"/>
  <c r="H185" i="1"/>
  <c r="H186" i="1"/>
  <c r="H187" i="1"/>
  <c r="H189" i="1"/>
  <c r="G188" i="1"/>
  <c r="G190" i="1"/>
  <c r="G191" i="1"/>
  <c r="G192" i="1"/>
  <c r="H184" i="1"/>
  <c r="E107" i="1"/>
  <c r="F196" i="1"/>
  <c r="F195" i="1"/>
  <c r="F194" i="1"/>
  <c r="F192" i="1"/>
  <c r="F191" i="1"/>
  <c r="F190" i="1"/>
  <c r="F189" i="1"/>
  <c r="F188" i="1"/>
  <c r="F187" i="1"/>
  <c r="F186" i="1"/>
  <c r="F185" i="1"/>
  <c r="F184" i="1"/>
  <c r="H172" i="1"/>
  <c r="F345" i="1" s="1"/>
  <c r="F362" i="1" s="1"/>
  <c r="C248" i="1" l="1"/>
  <c r="C255" i="1" s="1"/>
  <c r="F269" i="1" s="1"/>
  <c r="M195" i="1"/>
  <c r="D19" i="2"/>
  <c r="D222" i="2"/>
  <c r="E222" i="2"/>
  <c r="F222" i="2" s="1"/>
  <c r="B223" i="2"/>
  <c r="I195" i="1"/>
  <c r="D80" i="2" l="1"/>
  <c r="D58" i="2"/>
  <c r="D223" i="2"/>
  <c r="E223" i="2" s="1"/>
  <c r="F223" i="2" s="1"/>
  <c r="B224" i="2"/>
  <c r="D116" i="1"/>
  <c r="D117" i="1" s="1"/>
  <c r="D224" i="2" l="1"/>
  <c r="E224" i="2" s="1"/>
  <c r="F224" i="2" s="1"/>
  <c r="B225" i="2"/>
  <c r="G129" i="1"/>
  <c r="G150" i="1"/>
  <c r="H143" i="1"/>
  <c r="H138" i="1"/>
  <c r="H137" i="1"/>
  <c r="D225" i="2" l="1"/>
  <c r="E225" i="2" s="1"/>
  <c r="F225" i="2" s="1"/>
  <c r="B226" i="2"/>
  <c r="E134" i="1"/>
  <c r="E135" i="1" s="1"/>
  <c r="D226" i="2" l="1"/>
  <c r="E226" i="2" s="1"/>
  <c r="F226" i="2" s="1"/>
  <c r="B227" i="2"/>
  <c r="E136" i="1"/>
  <c r="D8" i="1"/>
  <c r="E129" i="1" s="1"/>
  <c r="F129" i="1" s="1"/>
  <c r="D87" i="1"/>
  <c r="D89" i="1" s="1"/>
  <c r="D62" i="1"/>
  <c r="D85" i="1"/>
  <c r="D88" i="1" s="1"/>
  <c r="H75" i="1"/>
  <c r="H74" i="1"/>
  <c r="D79" i="1" s="1"/>
  <c r="H141" i="1" l="1"/>
  <c r="G145" i="1" s="1"/>
  <c r="E69" i="1"/>
  <c r="D227" i="2"/>
  <c r="E227" i="2" s="1"/>
  <c r="F227" i="2" s="1"/>
  <c r="B228" i="2"/>
  <c r="H79" i="1"/>
  <c r="H168" i="1" s="1"/>
  <c r="G168" i="1"/>
  <c r="H129" i="1"/>
  <c r="H171" i="1" s="1"/>
  <c r="G171" i="1"/>
  <c r="D90" i="1"/>
  <c r="D96" i="1" s="1"/>
  <c r="D97" i="1" s="1"/>
  <c r="C18" i="2" l="1"/>
  <c r="C57" i="2" s="1"/>
  <c r="E344" i="1"/>
  <c r="C14" i="2"/>
  <c r="C75" i="2" s="1"/>
  <c r="E341" i="1"/>
  <c r="E358" i="1" s="1"/>
  <c r="D18" i="2"/>
  <c r="D57" i="2" s="1"/>
  <c r="F344" i="1"/>
  <c r="D14" i="2"/>
  <c r="D53" i="2" s="1"/>
  <c r="F341" i="1"/>
  <c r="F358" i="1" s="1"/>
  <c r="D228" i="2"/>
  <c r="E228" i="2" s="1"/>
  <c r="F228" i="2" s="1"/>
  <c r="B229" i="2"/>
  <c r="G169" i="1"/>
  <c r="L194" i="1"/>
  <c r="H194" i="1"/>
  <c r="M194" i="1"/>
  <c r="I194" i="1"/>
  <c r="H191" i="1"/>
  <c r="L191" i="1"/>
  <c r="I191" i="1"/>
  <c r="M191" i="1"/>
  <c r="C79" i="2" l="1"/>
  <c r="F361" i="1"/>
  <c r="K361" i="1"/>
  <c r="P361" i="1"/>
  <c r="C36" i="2"/>
  <c r="E361" i="1"/>
  <c r="J361" i="1"/>
  <c r="C32" i="2"/>
  <c r="C53" i="2"/>
  <c r="D79" i="2"/>
  <c r="C15" i="2"/>
  <c r="C33" i="2" s="1"/>
  <c r="E342" i="1"/>
  <c r="E359" i="1" s="1"/>
  <c r="D32" i="2"/>
  <c r="D75" i="2"/>
  <c r="C76" i="2"/>
  <c r="D229" i="2"/>
  <c r="E229" i="2" s="1"/>
  <c r="F229" i="2" s="1"/>
  <c r="B230" i="2"/>
  <c r="L192" i="1"/>
  <c r="H192" i="1"/>
  <c r="F164" i="1"/>
  <c r="B11" i="2" s="1"/>
  <c r="D55" i="1"/>
  <c r="F163" i="1" s="1"/>
  <c r="B10" i="2" s="1"/>
  <c r="D54" i="1"/>
  <c r="F162" i="1" s="1"/>
  <c r="G60" i="1"/>
  <c r="H136" i="1" s="1"/>
  <c r="E139" i="1"/>
  <c r="D61" i="1"/>
  <c r="C54" i="2" l="1"/>
  <c r="B9" i="2"/>
  <c r="B70" i="2" s="1"/>
  <c r="D335" i="1"/>
  <c r="B27" i="2"/>
  <c r="B28" i="2"/>
  <c r="B49" i="2"/>
  <c r="B71" i="2"/>
  <c r="B29" i="2"/>
  <c r="B72" i="2"/>
  <c r="B50" i="2"/>
  <c r="D230" i="2"/>
  <c r="E230" i="2" s="1"/>
  <c r="F230" i="2" s="1"/>
  <c r="B231" i="2"/>
  <c r="E141" i="1"/>
  <c r="K185" i="1"/>
  <c r="G185" i="1"/>
  <c r="K187" i="1"/>
  <c r="G187" i="1"/>
  <c r="K186" i="1"/>
  <c r="G186" i="1"/>
  <c r="D102" i="1"/>
  <c r="D106" i="1" s="1"/>
  <c r="D107" i="1" s="1"/>
  <c r="D63" i="1"/>
  <c r="D64" i="1" s="1"/>
  <c r="E46" i="1"/>
  <c r="G33" i="1"/>
  <c r="G30" i="1"/>
  <c r="E45" i="1" s="1"/>
  <c r="G24" i="1"/>
  <c r="G26" i="1" s="1"/>
  <c r="F97" i="1" s="1"/>
  <c r="H97" i="1" s="1"/>
  <c r="H169" i="1" s="1"/>
  <c r="D352" i="1" l="1"/>
  <c r="N352" i="1"/>
  <c r="I352" i="1"/>
  <c r="B48" i="2"/>
  <c r="D336" i="1"/>
  <c r="D353" i="1" s="1"/>
  <c r="D337" i="1"/>
  <c r="D354" i="1" s="1"/>
  <c r="D15" i="2"/>
  <c r="D54" i="2" s="1"/>
  <c r="F342" i="1"/>
  <c r="F359" i="1" s="1"/>
  <c r="D76" i="2"/>
  <c r="D231" i="2"/>
  <c r="E231" i="2" s="1"/>
  <c r="F231" i="2" s="1"/>
  <c r="B232" i="2"/>
  <c r="M192" i="1"/>
  <c r="I192" i="1"/>
  <c r="E70" i="1"/>
  <c r="D210" i="1"/>
  <c r="D212" i="1" s="1"/>
  <c r="F107" i="1"/>
  <c r="H167" i="1" s="1"/>
  <c r="G167" i="1"/>
  <c r="E143" i="1"/>
  <c r="E145" i="1" s="1"/>
  <c r="E150" i="1"/>
  <c r="D44" i="1"/>
  <c r="G122" i="1"/>
  <c r="G124" i="1"/>
  <c r="G123" i="1"/>
  <c r="D70" i="1"/>
  <c r="D69" i="1"/>
  <c r="E54" i="1"/>
  <c r="D45" i="1"/>
  <c r="D46" i="1"/>
  <c r="D33" i="2" l="1"/>
  <c r="C16" i="2"/>
  <c r="C34" i="2" s="1"/>
  <c r="E340" i="1"/>
  <c r="E357" i="1" s="1"/>
  <c r="D16" i="2"/>
  <c r="D77" i="2" s="1"/>
  <c r="F340" i="1"/>
  <c r="F357" i="1" s="1"/>
  <c r="C77" i="2"/>
  <c r="C55" i="2"/>
  <c r="D232" i="2"/>
  <c r="E232" i="2" s="1"/>
  <c r="F232" i="2" s="1"/>
  <c r="B233" i="2"/>
  <c r="F70" i="1"/>
  <c r="F166" i="1"/>
  <c r="B13" i="2" s="1"/>
  <c r="F69" i="1"/>
  <c r="H165" i="1" s="1"/>
  <c r="D12" i="2" s="1"/>
  <c r="G165" i="1"/>
  <c r="I145" i="1"/>
  <c r="H173" i="1" s="1"/>
  <c r="G173" i="1"/>
  <c r="I190" i="1"/>
  <c r="M190" i="1"/>
  <c r="I150" i="1"/>
  <c r="H174" i="1" s="1"/>
  <c r="D21" i="2" s="1"/>
  <c r="G174" i="1"/>
  <c r="C21" i="2" s="1"/>
  <c r="H190" i="1"/>
  <c r="L190" i="1"/>
  <c r="F46" i="1"/>
  <c r="E124" i="1"/>
  <c r="F124" i="1" s="1"/>
  <c r="H124" i="1" s="1"/>
  <c r="F45" i="1"/>
  <c r="E123" i="1"/>
  <c r="F123" i="1" s="1"/>
  <c r="H123" i="1" s="1"/>
  <c r="F44" i="1"/>
  <c r="E122" i="1"/>
  <c r="F122" i="1" s="1"/>
  <c r="E55" i="1"/>
  <c r="F54" i="1"/>
  <c r="H162" i="1" s="1"/>
  <c r="D47" i="1"/>
  <c r="F161" i="1" s="1"/>
  <c r="D34" i="2" l="1"/>
  <c r="D9" i="2"/>
  <c r="D48" i="2" s="1"/>
  <c r="F335" i="1"/>
  <c r="C12" i="2"/>
  <c r="C73" i="2" s="1"/>
  <c r="E338" i="1"/>
  <c r="E355" i="1" s="1"/>
  <c r="C20" i="2"/>
  <c r="C81" i="2" s="1"/>
  <c r="E346" i="1"/>
  <c r="E363" i="1" s="1"/>
  <c r="D55" i="2"/>
  <c r="B8" i="2"/>
  <c r="B26" i="2" s="1"/>
  <c r="D334" i="1"/>
  <c r="D351" i="1" s="1"/>
  <c r="D20" i="2"/>
  <c r="D59" i="2" s="1"/>
  <c r="F346" i="1"/>
  <c r="F363" i="1" s="1"/>
  <c r="D51" i="2"/>
  <c r="D73" i="2"/>
  <c r="D30" i="2"/>
  <c r="D81" i="2"/>
  <c r="B74" i="2"/>
  <c r="B52" i="2"/>
  <c r="B31" i="2"/>
  <c r="C60" i="2"/>
  <c r="C39" i="2"/>
  <c r="C82" i="2"/>
  <c r="D82" i="2"/>
  <c r="D60" i="2"/>
  <c r="H166" i="1"/>
  <c r="D13" i="2"/>
  <c r="D74" i="2" s="1"/>
  <c r="D233" i="2"/>
  <c r="E233" i="2" s="1"/>
  <c r="F233" i="2" s="1"/>
  <c r="B234" i="2"/>
  <c r="F47" i="1"/>
  <c r="H161" i="1" s="1"/>
  <c r="F334" i="1" s="1"/>
  <c r="F351" i="1" s="1"/>
  <c r="L188" i="1"/>
  <c r="H188" i="1"/>
  <c r="H196" i="1"/>
  <c r="L196" i="1"/>
  <c r="M188" i="1"/>
  <c r="I188" i="1"/>
  <c r="F338" i="1" s="1"/>
  <c r="F355" i="1" s="1"/>
  <c r="K184" i="1"/>
  <c r="G184" i="1"/>
  <c r="M196" i="1"/>
  <c r="I196" i="1"/>
  <c r="G189" i="1"/>
  <c r="D339" i="1" s="1"/>
  <c r="D356" i="1" s="1"/>
  <c r="K189" i="1"/>
  <c r="M185" i="1"/>
  <c r="I185" i="1"/>
  <c r="H197" i="1"/>
  <c r="L197" i="1"/>
  <c r="M197" i="1"/>
  <c r="I197" i="1"/>
  <c r="F126" i="1"/>
  <c r="G172" i="1" s="1"/>
  <c r="H122" i="1"/>
  <c r="H126" i="1" s="1"/>
  <c r="E56" i="1"/>
  <c r="F56" i="1" s="1"/>
  <c r="H164" i="1" s="1"/>
  <c r="D11" i="2" s="1"/>
  <c r="F55" i="1"/>
  <c r="H163" i="1" s="1"/>
  <c r="D10" i="2" s="1"/>
  <c r="F352" i="1" l="1"/>
  <c r="K352" i="1"/>
  <c r="K364" i="1" s="1"/>
  <c r="P352" i="1"/>
  <c r="P364" i="1" s="1"/>
  <c r="C30" i="2"/>
  <c r="C38" i="2"/>
  <c r="C59" i="2"/>
  <c r="B47" i="2"/>
  <c r="B61" i="2" s="1"/>
  <c r="B91" i="2" s="1"/>
  <c r="B69" i="2"/>
  <c r="B83" i="2" s="1"/>
  <c r="B92" i="2" s="1"/>
  <c r="A152" i="2" s="1"/>
  <c r="B40" i="2"/>
  <c r="B90" i="2" s="1"/>
  <c r="A129" i="2" s="1"/>
  <c r="C51" i="2"/>
  <c r="D70" i="2"/>
  <c r="I189" i="1"/>
  <c r="F339" i="1"/>
  <c r="F356" i="1" s="1"/>
  <c r="D27" i="2"/>
  <c r="C19" i="2"/>
  <c r="C37" i="2" s="1"/>
  <c r="C40" i="2" s="1"/>
  <c r="E345" i="1"/>
  <c r="E362" i="1" s="1"/>
  <c r="D71" i="2"/>
  <c r="D49" i="2"/>
  <c r="D28" i="2"/>
  <c r="I184" i="1"/>
  <c r="D8" i="2"/>
  <c r="M189" i="1"/>
  <c r="E281" i="1"/>
  <c r="D72" i="2"/>
  <c r="D50" i="2"/>
  <c r="D234" i="2"/>
  <c r="E234" i="2" s="1"/>
  <c r="F234" i="2" s="1"/>
  <c r="B235" i="2"/>
  <c r="M184" i="1"/>
  <c r="H195" i="1"/>
  <c r="H198" i="1" s="1"/>
  <c r="L195" i="1"/>
  <c r="L198" i="1" s="1"/>
  <c r="G288" i="1" s="1"/>
  <c r="M186" i="1"/>
  <c r="I186" i="1"/>
  <c r="F336" i="1" s="1"/>
  <c r="F353" i="1" s="1"/>
  <c r="G198" i="1"/>
  <c r="M187" i="1"/>
  <c r="I187" i="1"/>
  <c r="F337" i="1" s="1"/>
  <c r="F354" i="1" s="1"/>
  <c r="K198" i="1"/>
  <c r="D213" i="1" s="1"/>
  <c r="E275" i="1"/>
  <c r="H275" i="1" s="1"/>
  <c r="H219" i="1"/>
  <c r="C224" i="1" s="1"/>
  <c r="A126" i="2" l="1"/>
  <c r="C58" i="2"/>
  <c r="E323" i="1"/>
  <c r="H326" i="1" s="1"/>
  <c r="E367" i="1"/>
  <c r="A127" i="2"/>
  <c r="F364" i="1"/>
  <c r="F366" i="1" s="1"/>
  <c r="A122" i="2"/>
  <c r="A136" i="2"/>
  <c r="A142" i="2"/>
  <c r="A141" i="2"/>
  <c r="A135" i="2"/>
  <c r="A138" i="2"/>
  <c r="A128" i="2"/>
  <c r="A121" i="2"/>
  <c r="C80" i="2"/>
  <c r="C83" i="2" s="1"/>
  <c r="C84" i="2" s="1"/>
  <c r="A123" i="2"/>
  <c r="A124" i="2"/>
  <c r="C22" i="2"/>
  <c r="A155" i="2"/>
  <c r="A156" i="2"/>
  <c r="A140" i="2"/>
  <c r="A137" i="2"/>
  <c r="A159" i="2"/>
  <c r="A125" i="2"/>
  <c r="A139" i="2"/>
  <c r="C61" i="2"/>
  <c r="C91" i="2" s="1"/>
  <c r="A151" i="2"/>
  <c r="A143" i="2"/>
  <c r="A154" i="2"/>
  <c r="A153" i="2"/>
  <c r="A158" i="2"/>
  <c r="A157" i="2"/>
  <c r="A150" i="2"/>
  <c r="C41" i="2"/>
  <c r="C90" i="2"/>
  <c r="B129" i="2" s="1"/>
  <c r="D26" i="2"/>
  <c r="D40" i="2" s="1"/>
  <c r="D69" i="2"/>
  <c r="D83" i="2" s="1"/>
  <c r="D47" i="2"/>
  <c r="D61" i="2" s="1"/>
  <c r="D235" i="2"/>
  <c r="E235" i="2" s="1"/>
  <c r="F235" i="2" s="1"/>
  <c r="B236" i="2"/>
  <c r="E283" i="1"/>
  <c r="I198" i="1"/>
  <c r="M198" i="1"/>
  <c r="C241" i="1"/>
  <c r="C242" i="1" s="1"/>
  <c r="C225" i="1"/>
  <c r="H284" i="1" l="1"/>
  <c r="H285" i="1" s="1"/>
  <c r="E371" i="1"/>
  <c r="C92" i="2"/>
  <c r="B155" i="2" s="1"/>
  <c r="C62" i="2"/>
  <c r="D64" i="2" s="1"/>
  <c r="D91" i="2" s="1"/>
  <c r="C135" i="2" s="1"/>
  <c r="D135" i="2" s="1"/>
  <c r="B152" i="2"/>
  <c r="B158" i="2"/>
  <c r="B121" i="2"/>
  <c r="C164" i="2" s="1"/>
  <c r="B195" i="2" s="1"/>
  <c r="F195" i="2" s="1"/>
  <c r="B125" i="2"/>
  <c r="B122" i="2"/>
  <c r="B128" i="2"/>
  <c r="D86" i="2"/>
  <c r="D92" i="2" s="1"/>
  <c r="C151" i="2" s="1"/>
  <c r="D151" i="2" s="1"/>
  <c r="B157" i="2"/>
  <c r="B156" i="2"/>
  <c r="B124" i="2"/>
  <c r="B126" i="2"/>
  <c r="B127" i="2"/>
  <c r="B123" i="2"/>
  <c r="D43" i="2"/>
  <c r="D90" i="2" s="1"/>
  <c r="B137" i="2"/>
  <c r="B142" i="2"/>
  <c r="B135" i="2"/>
  <c r="C165" i="2" s="1"/>
  <c r="B196" i="2" s="1"/>
  <c r="B140" i="2"/>
  <c r="B139" i="2"/>
  <c r="B143" i="2"/>
  <c r="B141" i="2"/>
  <c r="B138" i="2"/>
  <c r="B136" i="2"/>
  <c r="D236" i="2"/>
  <c r="E236" i="2" s="1"/>
  <c r="F236" i="2" s="1"/>
  <c r="B237" i="2"/>
  <c r="C236" i="1"/>
  <c r="C221" i="1"/>
  <c r="F248" i="1"/>
  <c r="F250" i="1" s="1"/>
  <c r="D265" i="1"/>
  <c r="E370" i="1"/>
  <c r="B153" i="2" l="1"/>
  <c r="B159" i="2"/>
  <c r="B150" i="2"/>
  <c r="C166" i="2" s="1"/>
  <c r="B197" i="2" s="1"/>
  <c r="E197" i="2" s="1"/>
  <c r="E368" i="1"/>
  <c r="E285" i="1"/>
  <c r="E286" i="1" s="1"/>
  <c r="H286" i="1" s="1"/>
  <c r="E282" i="1"/>
  <c r="B154" i="2"/>
  <c r="H369" i="1"/>
  <c r="H371" i="1" s="1"/>
  <c r="H368" i="1"/>
  <c r="B151" i="2"/>
  <c r="C140" i="2"/>
  <c r="D140" i="2" s="1"/>
  <c r="C141" i="2"/>
  <c r="D141" i="2" s="1"/>
  <c r="C142" i="2"/>
  <c r="D142" i="2" s="1"/>
  <c r="C138" i="2"/>
  <c r="D138" i="2" s="1"/>
  <c r="C137" i="2"/>
  <c r="D137" i="2" s="1"/>
  <c r="C139" i="2"/>
  <c r="D139" i="2" s="1"/>
  <c r="C159" i="2"/>
  <c r="D159" i="2" s="1"/>
  <c r="C158" i="2"/>
  <c r="D158" i="2" s="1"/>
  <c r="C157" i="2"/>
  <c r="D157" i="2" s="1"/>
  <c r="E195" i="2"/>
  <c r="C155" i="2"/>
  <c r="D155" i="2" s="1"/>
  <c r="C150" i="2"/>
  <c r="D150" i="2" s="1"/>
  <c r="C156" i="2"/>
  <c r="D156" i="2" s="1"/>
  <c r="C154" i="2"/>
  <c r="D154" i="2" s="1"/>
  <c r="C153" i="2"/>
  <c r="D153" i="2" s="1"/>
  <c r="C152" i="2"/>
  <c r="D152" i="2" s="1"/>
  <c r="F197" i="2"/>
  <c r="C136" i="2"/>
  <c r="D136" i="2" s="1"/>
  <c r="C143" i="2"/>
  <c r="D143" i="2" s="1"/>
  <c r="C123" i="2"/>
  <c r="D123" i="2" s="1"/>
  <c r="C125" i="2"/>
  <c r="D125" i="2" s="1"/>
  <c r="C129" i="2"/>
  <c r="D129" i="2" s="1"/>
  <c r="C126" i="2"/>
  <c r="D126" i="2" s="1"/>
  <c r="C127" i="2"/>
  <c r="D127" i="2" s="1"/>
  <c r="C122" i="2"/>
  <c r="D122" i="2" s="1"/>
  <c r="C121" i="2"/>
  <c r="D121" i="2" s="1"/>
  <c r="C128" i="2"/>
  <c r="D128" i="2" s="1"/>
  <c r="C124" i="2"/>
  <c r="D124" i="2" s="1"/>
  <c r="E196" i="2"/>
  <c r="F196" i="2"/>
  <c r="D237" i="2"/>
  <c r="E237" i="2" s="1"/>
  <c r="F237" i="2" s="1"/>
  <c r="B238" i="2"/>
  <c r="H250" i="1"/>
  <c r="H274" i="1"/>
  <c r="F265" i="1"/>
  <c r="H220" i="1"/>
  <c r="C231" i="1"/>
  <c r="F231" i="1"/>
  <c r="E373" i="1" s="1"/>
  <c r="H287" i="1" l="1"/>
  <c r="E287" i="1" s="1"/>
  <c r="E288" i="1" s="1"/>
  <c r="K288" i="1" s="1"/>
  <c r="E378" i="1"/>
  <c r="E382" i="1" s="1"/>
  <c r="G380" i="1"/>
  <c r="B165" i="2"/>
  <c r="A196" i="2" s="1"/>
  <c r="B166" i="2"/>
  <c r="A197" i="2" s="1"/>
  <c r="B164" i="2"/>
  <c r="A195" i="2" s="1"/>
  <c r="F274" i="1"/>
  <c r="K274" i="1"/>
  <c r="D238" i="2"/>
  <c r="E238" i="2" s="1"/>
  <c r="F238" i="2" s="1"/>
  <c r="B239" i="2"/>
  <c r="F233" i="1"/>
  <c r="E236" i="1" s="1"/>
  <c r="E380" i="1" l="1"/>
  <c r="D239" i="2"/>
  <c r="E239" i="2" s="1"/>
  <c r="F239" i="2" s="1"/>
  <c r="B240" i="2"/>
  <c r="E383" i="1" l="1"/>
  <c r="G383" i="1" s="1"/>
  <c r="D240" i="2"/>
  <c r="E240" i="2" s="1"/>
  <c r="F240" i="2" s="1"/>
  <c r="B241" i="2"/>
  <c r="D241" i="2" l="1"/>
  <c r="E241" i="2" s="1"/>
  <c r="F241" i="2" s="1"/>
  <c r="B242" i="2"/>
  <c r="D242" i="2" l="1"/>
  <c r="E242" i="2" s="1"/>
  <c r="F242" i="2" s="1"/>
  <c r="B243" i="2"/>
  <c r="D243" i="2" l="1"/>
  <c r="E243" i="2" s="1"/>
  <c r="F243" i="2" s="1"/>
  <c r="B244" i="2"/>
  <c r="D244" i="2" l="1"/>
  <c r="E244" i="2" s="1"/>
  <c r="F244" i="2" s="1"/>
  <c r="B245" i="2"/>
  <c r="D245" i="2" l="1"/>
  <c r="E245" i="2" s="1"/>
  <c r="F245" i="2" s="1"/>
  <c r="B246" i="2"/>
  <c r="D246" i="2" l="1"/>
  <c r="E246" i="2" s="1"/>
  <c r="F246" i="2" s="1"/>
  <c r="B247" i="2"/>
  <c r="E247" i="2" l="1"/>
  <c r="F247" i="2" s="1"/>
  <c r="B248" i="2"/>
  <c r="E248" i="2" l="1"/>
  <c r="F248" i="2" s="1"/>
  <c r="B249" i="2"/>
  <c r="E249" i="2" l="1"/>
  <c r="F249" i="2" s="1"/>
  <c r="B250" i="2"/>
  <c r="E251" i="2" l="1"/>
  <c r="F251" i="2" s="1"/>
  <c r="E250" i="2"/>
  <c r="F250" i="2" s="1"/>
  <c r="F258" i="2" l="1"/>
  <c r="F259" i="2" s="1"/>
  <c r="F276" i="2" s="1"/>
  <c r="H276" i="2" s="1"/>
  <c r="H398" i="5"/>
  <c r="F398" i="5"/>
  <c r="F381" i="5"/>
  <c r="F378" i="5"/>
  <c r="F331" i="5"/>
</calcChain>
</file>

<file path=xl/sharedStrings.xml><?xml version="1.0" encoding="utf-8"?>
<sst xmlns="http://schemas.openxmlformats.org/spreadsheetml/2006/main" count="1422" uniqueCount="570">
  <si>
    <t>Abutment Design</t>
  </si>
  <si>
    <t>Dead Load</t>
  </si>
  <si>
    <t>Unfactored</t>
  </si>
  <si>
    <t>Live Load including impact</t>
  </si>
  <si>
    <t>Slab / Cross G</t>
  </si>
  <si>
    <t>Class A</t>
  </si>
  <si>
    <t>Girder</t>
  </si>
  <si>
    <t>Railing</t>
  </si>
  <si>
    <t>70 R Track</t>
  </si>
  <si>
    <t>Footpath</t>
  </si>
  <si>
    <t>Surfacing</t>
  </si>
  <si>
    <t>Material and Properties:</t>
  </si>
  <si>
    <t>Grade of concrete=</t>
  </si>
  <si>
    <t>Reinforcement=</t>
  </si>
  <si>
    <t>Fe500</t>
  </si>
  <si>
    <t>Concrete (Reinforced)</t>
  </si>
  <si>
    <t>Backfill</t>
  </si>
  <si>
    <t>Superstructure geometry</t>
  </si>
  <si>
    <t>Ht. of Bridge deck =</t>
  </si>
  <si>
    <t>m</t>
  </si>
  <si>
    <t>Bearing Ht =</t>
  </si>
  <si>
    <t>Abutment Details</t>
  </si>
  <si>
    <t>Total Ht =</t>
  </si>
  <si>
    <t>Wearing course height=</t>
  </si>
  <si>
    <t>Ht BackW =</t>
  </si>
  <si>
    <t>m including wearing course</t>
  </si>
  <si>
    <t>Cap ht =</t>
  </si>
  <si>
    <t xml:space="preserve">m  </t>
  </si>
  <si>
    <t>Stem Ht =</t>
  </si>
  <si>
    <t>BW Width =</t>
  </si>
  <si>
    <t>distance from edge to bearing center=</t>
  </si>
  <si>
    <t>Distance from back wall to bearing center=</t>
  </si>
  <si>
    <t>Cap Width =</t>
  </si>
  <si>
    <t>Stem Width =</t>
  </si>
  <si>
    <t>Width of the abutment =</t>
  </si>
  <si>
    <t>Total Stem base width =</t>
  </si>
  <si>
    <t>A1. Calculation of Loads</t>
  </si>
  <si>
    <t>1. Load from self weight of abutment</t>
  </si>
  <si>
    <t>Component</t>
  </si>
  <si>
    <t>Distance from centre of base</t>
  </si>
  <si>
    <t>Moment</t>
  </si>
  <si>
    <t>cap</t>
  </si>
  <si>
    <t>Backwall</t>
  </si>
  <si>
    <t>2. Load from superstructure</t>
  </si>
  <si>
    <t>DL</t>
  </si>
  <si>
    <t>LL</t>
  </si>
  <si>
    <t xml:space="preserve">3.Earth pressure </t>
  </si>
  <si>
    <t>Ф=</t>
  </si>
  <si>
    <t>α=</t>
  </si>
  <si>
    <t>β=</t>
  </si>
  <si>
    <t>δ=</t>
  </si>
  <si>
    <t>Ka =</t>
  </si>
  <si>
    <t>ɣ=</t>
  </si>
  <si>
    <t>h=</t>
  </si>
  <si>
    <t>Earth pressure=</t>
  </si>
  <si>
    <t>Total Force =</t>
  </si>
  <si>
    <t>Unit weight of materials as per IRC : 6-2017:</t>
  </si>
  <si>
    <t>BRIDGE GEOMETRY</t>
  </si>
  <si>
    <t>( upto bed lvl)</t>
  </si>
  <si>
    <t>surface</t>
  </si>
  <si>
    <t>degree</t>
  </si>
  <si>
    <t>70R wheel</t>
  </si>
  <si>
    <t>stem</t>
  </si>
  <si>
    <t>extra-width</t>
  </si>
  <si>
    <t>page 50 irc6 2017</t>
  </si>
  <si>
    <t>horizontal(EP h)</t>
  </si>
  <si>
    <t>vertical (EP v)</t>
  </si>
  <si>
    <t>h for dry soil</t>
  </si>
  <si>
    <t>hfor wet soil</t>
  </si>
  <si>
    <t>acts at</t>
  </si>
  <si>
    <t>2/3  0f f</t>
  </si>
  <si>
    <r>
      <t>N/mm</t>
    </r>
    <r>
      <rPr>
        <vertAlign val="superscript"/>
        <sz val="11"/>
        <color theme="1"/>
        <rFont val="Arial"/>
        <family val="2"/>
      </rPr>
      <t>2</t>
    </r>
  </si>
  <si>
    <r>
      <t>Characteristic strength(f</t>
    </r>
    <r>
      <rPr>
        <vertAlign val="subscript"/>
        <sz val="11"/>
        <color theme="1"/>
        <rFont val="Arial"/>
        <family val="2"/>
      </rPr>
      <t>ck</t>
    </r>
    <r>
      <rPr>
        <sz val="11"/>
        <color theme="1"/>
        <rFont val="Arial"/>
        <family val="2"/>
      </rPr>
      <t>)=</t>
    </r>
  </si>
  <si>
    <r>
      <t>N/mm</t>
    </r>
    <r>
      <rPr>
        <vertAlign val="superscript"/>
        <sz val="11"/>
        <rFont val="Arial"/>
        <family val="2"/>
      </rPr>
      <t>2</t>
    </r>
  </si>
  <si>
    <r>
      <t>Yield stress of steel(f</t>
    </r>
    <r>
      <rPr>
        <vertAlign val="subscript"/>
        <sz val="11"/>
        <color theme="1"/>
        <rFont val="Arial"/>
        <family val="2"/>
      </rPr>
      <t>y</t>
    </r>
    <r>
      <rPr>
        <sz val="11"/>
        <color theme="1"/>
        <rFont val="Arial"/>
        <family val="2"/>
      </rPr>
      <t>)=</t>
    </r>
  </si>
  <si>
    <r>
      <t>KN/m</t>
    </r>
    <r>
      <rPr>
        <vertAlign val="superscript"/>
        <sz val="11"/>
        <rFont val="Arial"/>
        <family val="2"/>
      </rPr>
      <t>3</t>
    </r>
  </si>
  <si>
    <r>
      <t>KN/m</t>
    </r>
    <r>
      <rPr>
        <vertAlign val="superscript"/>
        <sz val="11"/>
        <rFont val="Arial"/>
        <family val="2"/>
      </rPr>
      <t>3</t>
    </r>
    <r>
      <rPr>
        <sz val="10"/>
        <rFont val="Arial"/>
        <family val="2"/>
      </rPr>
      <t/>
    </r>
  </si>
  <si>
    <r>
      <t>Wt (m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</t>
    </r>
  </si>
  <si>
    <r>
      <t>kN/m</t>
    </r>
    <r>
      <rPr>
        <vertAlign val="superscript"/>
        <sz val="11"/>
        <rFont val="Arial"/>
        <family val="2"/>
      </rPr>
      <t>3</t>
    </r>
  </si>
  <si>
    <t>4.Braking load</t>
  </si>
  <si>
    <t xml:space="preserve">Wt of  70R </t>
  </si>
  <si>
    <t>kN</t>
  </si>
  <si>
    <t>Wt of class A</t>
  </si>
  <si>
    <t xml:space="preserve">Lane </t>
  </si>
  <si>
    <t>Factor</t>
  </si>
  <si>
    <t>Force</t>
  </si>
  <si>
    <t xml:space="preserve">point of application </t>
  </si>
  <si>
    <t xml:space="preserve">m above deck </t>
  </si>
  <si>
    <t>CG</t>
  </si>
  <si>
    <t>Braking load</t>
  </si>
  <si>
    <t>Arm</t>
  </si>
  <si>
    <t>5.Temperature</t>
  </si>
  <si>
    <t>Temperature variation</t>
  </si>
  <si>
    <t>deg/C</t>
  </si>
  <si>
    <r>
      <t>coefficient of thermal expansion</t>
    </r>
    <r>
      <rPr>
        <sz val="11"/>
        <color theme="1"/>
        <rFont val="Symbol"/>
        <family val="1"/>
        <charset val="2"/>
      </rPr>
      <t>(a)</t>
    </r>
  </si>
  <si>
    <t>span</t>
  </si>
  <si>
    <t>strain due to shrinkage</t>
  </si>
  <si>
    <t>Thermal elongation</t>
  </si>
  <si>
    <t>shrinkage elongation</t>
  </si>
  <si>
    <t>Total elongation</t>
  </si>
  <si>
    <t>shear rating of elastomer(G)</t>
  </si>
  <si>
    <r>
      <t>kN/m/m</t>
    </r>
    <r>
      <rPr>
        <vertAlign val="superscript"/>
        <sz val="11"/>
        <color theme="1"/>
        <rFont val="Arial"/>
        <family val="2"/>
        <scheme val="minor"/>
      </rPr>
      <t>2</t>
    </r>
  </si>
  <si>
    <t>Area of bearing</t>
  </si>
  <si>
    <t>Ht of bearing</t>
  </si>
  <si>
    <t>No of bearing</t>
  </si>
  <si>
    <t>Force  on each abutment</t>
  </si>
  <si>
    <t>shear modulus of EB</t>
  </si>
  <si>
    <r>
      <t>m</t>
    </r>
    <r>
      <rPr>
        <b/>
        <vertAlign val="superscript"/>
        <sz val="11"/>
        <color theme="1"/>
        <rFont val="Arial"/>
        <family val="2"/>
        <scheme val="minor"/>
      </rPr>
      <t>2</t>
    </r>
  </si>
  <si>
    <t>approach slab length</t>
  </si>
  <si>
    <t>height</t>
  </si>
  <si>
    <t>6.Live Load  surchage</t>
  </si>
  <si>
    <r>
      <t>k</t>
    </r>
    <r>
      <rPr>
        <vertAlign val="subscript"/>
        <sz val="11"/>
        <color theme="1"/>
        <rFont val="Arial"/>
        <family val="2"/>
        <scheme val="minor"/>
      </rPr>
      <t>a</t>
    </r>
  </si>
  <si>
    <r>
      <t>kN/m</t>
    </r>
    <r>
      <rPr>
        <vertAlign val="superscript"/>
        <sz val="11"/>
        <color theme="1"/>
        <rFont val="Arial"/>
        <family val="2"/>
        <scheme val="minor"/>
      </rPr>
      <t>2</t>
    </r>
  </si>
  <si>
    <t>pressure</t>
  </si>
  <si>
    <t>7.seismic Load</t>
  </si>
  <si>
    <t>Zone Factor =</t>
  </si>
  <si>
    <t>Imp Factor =</t>
  </si>
  <si>
    <t>Response reduction factor =</t>
  </si>
  <si>
    <t>Z/2/I*Sa/g=</t>
  </si>
  <si>
    <t>Sa/g =</t>
  </si>
  <si>
    <t>Ah=</t>
  </si>
  <si>
    <t>1.Abutment self load</t>
  </si>
  <si>
    <t>backwall</t>
  </si>
  <si>
    <t>Wt</t>
  </si>
  <si>
    <t>horizontal Force</t>
  </si>
  <si>
    <t xml:space="preserve">Height </t>
  </si>
  <si>
    <t>2. Superstructure DL</t>
  </si>
  <si>
    <t>3.Due to backfill</t>
  </si>
  <si>
    <t>Ah</t>
  </si>
  <si>
    <t>Av</t>
  </si>
  <si>
    <t>l</t>
  </si>
  <si>
    <t>ca=</t>
  </si>
  <si>
    <t>rad</t>
  </si>
  <si>
    <t>a</t>
  </si>
  <si>
    <t>b</t>
  </si>
  <si>
    <t>d</t>
  </si>
  <si>
    <t>f</t>
  </si>
  <si>
    <t>g</t>
  </si>
  <si>
    <r>
      <t>kN/m</t>
    </r>
    <r>
      <rPr>
        <vertAlign val="superscript"/>
        <sz val="11"/>
        <color theme="1"/>
        <rFont val="Arial"/>
        <family val="2"/>
        <scheme val="minor"/>
      </rPr>
      <t>3</t>
    </r>
  </si>
  <si>
    <t>ca-ka</t>
  </si>
  <si>
    <t>EP seismic</t>
  </si>
  <si>
    <t>seismic force due to backfill</t>
  </si>
  <si>
    <t>h</t>
  </si>
  <si>
    <t>B</t>
  </si>
  <si>
    <t>m(CG)</t>
  </si>
  <si>
    <t>kN/m</t>
  </si>
  <si>
    <t>4.Dynamic surchage</t>
  </si>
  <si>
    <t>LL vehicle not taken(cl.219.5.2(i))</t>
  </si>
  <si>
    <t>A2.Summary of Loads</t>
  </si>
  <si>
    <t>Forces(KN)</t>
  </si>
  <si>
    <t>Moment (KNm)</t>
  </si>
  <si>
    <t>Factors</t>
  </si>
  <si>
    <t>Vertical</t>
  </si>
  <si>
    <t>Horizontal</t>
  </si>
  <si>
    <t>Basic</t>
  </si>
  <si>
    <t>Seismic</t>
  </si>
  <si>
    <t>Abutment Self</t>
  </si>
  <si>
    <t>SS DL</t>
  </si>
  <si>
    <t>SS Surface</t>
  </si>
  <si>
    <t>SS LL</t>
  </si>
  <si>
    <t>EPH</t>
  </si>
  <si>
    <t>EPV</t>
  </si>
  <si>
    <t>LL Surcharge (H)</t>
  </si>
  <si>
    <t>Braking</t>
  </si>
  <si>
    <t>Temperature</t>
  </si>
  <si>
    <t>Seismic Loads</t>
  </si>
  <si>
    <t>Superstr. DL</t>
  </si>
  <si>
    <t>Abutment DL</t>
  </si>
  <si>
    <t>Earth pressure</t>
  </si>
  <si>
    <t xml:space="preserve">Dyn. Surcharge </t>
  </si>
  <si>
    <t>Factored ( Non Seismic/Structure )</t>
  </si>
  <si>
    <t>Factored ( Seismic / Structure )</t>
  </si>
  <si>
    <t xml:space="preserve">Surcharge </t>
  </si>
  <si>
    <t>(CG)</t>
  </si>
  <si>
    <t>SEISMIC</t>
  </si>
  <si>
    <t>A2.Structural Design</t>
  </si>
  <si>
    <t>Axial Load =</t>
  </si>
  <si>
    <t>KN</t>
  </si>
  <si>
    <t>Max Axial Load =</t>
  </si>
  <si>
    <t xml:space="preserve">So, this abutment can be designed as a slab / flexure member </t>
  </si>
  <si>
    <t>Design of Abutment stem</t>
  </si>
  <si>
    <t>mm</t>
  </si>
  <si>
    <t>M =</t>
  </si>
  <si>
    <t xml:space="preserve">MPa </t>
  </si>
  <si>
    <t>d =</t>
  </si>
  <si>
    <t>D=</t>
  </si>
  <si>
    <t>Clear cover=</t>
  </si>
  <si>
    <t xml:space="preserve"> Effective cover=</t>
  </si>
  <si>
    <t>bw=</t>
  </si>
  <si>
    <t>C</t>
  </si>
  <si>
    <t>Cg from steel level =</t>
  </si>
  <si>
    <t>Fe</t>
  </si>
  <si>
    <t>Required Ast</t>
  </si>
  <si>
    <t>mm c/c spacing</t>
  </si>
  <si>
    <t>M</t>
  </si>
  <si>
    <t>Ac =</t>
  </si>
  <si>
    <t>fcd =</t>
  </si>
  <si>
    <t>Ecu,2</t>
  </si>
  <si>
    <t>0.416 Xu=</t>
  </si>
  <si>
    <t>0.446 Fck=</t>
  </si>
  <si>
    <t>N/mm2</t>
  </si>
  <si>
    <t xml:space="preserve">β1= </t>
  </si>
  <si>
    <t xml:space="preserve">β2= </t>
  </si>
  <si>
    <t>Fctm=</t>
  </si>
  <si>
    <t>calculating limiting value</t>
  </si>
  <si>
    <t>Es</t>
  </si>
  <si>
    <t>dia of bar</t>
  </si>
  <si>
    <t>xu</t>
  </si>
  <si>
    <t>Mu,lim</t>
  </si>
  <si>
    <t>For design moment</t>
  </si>
  <si>
    <t>D</t>
  </si>
  <si>
    <t>clear cover</t>
  </si>
  <si>
    <t>effective cover</t>
  </si>
  <si>
    <t>bw</t>
  </si>
  <si>
    <t>Mpa</t>
  </si>
  <si>
    <t>0.416xu=</t>
  </si>
  <si>
    <t>0.446Fck=</t>
  </si>
  <si>
    <r>
      <t>N/mm</t>
    </r>
    <r>
      <rPr>
        <vertAlign val="superscript"/>
        <sz val="11"/>
        <color theme="1"/>
        <rFont val="Arial"/>
        <family val="2"/>
        <scheme val="minor"/>
      </rPr>
      <t>2</t>
    </r>
  </si>
  <si>
    <t>Cg from steel level</t>
  </si>
  <si>
    <t>Mu</t>
  </si>
  <si>
    <t>GOAL seek</t>
  </si>
  <si>
    <t>fyd</t>
  </si>
  <si>
    <t xml:space="preserve"> steel required</t>
  </si>
  <si>
    <r>
      <t>mm</t>
    </r>
    <r>
      <rPr>
        <vertAlign val="superscript"/>
        <sz val="11"/>
        <color theme="1"/>
        <rFont val="Arial"/>
        <family val="2"/>
        <scheme val="minor"/>
      </rPr>
      <t>2</t>
    </r>
  </si>
  <si>
    <t>Tensile steel as per code(irc 112 cl.16.5.1.1)</t>
  </si>
  <si>
    <t>table 6.5</t>
  </si>
  <si>
    <t>fyk</t>
  </si>
  <si>
    <t>As,min</t>
  </si>
  <si>
    <t>steel required</t>
  </si>
  <si>
    <t>For maximum reinforcement</t>
  </si>
  <si>
    <t>Ac</t>
  </si>
  <si>
    <t>As,max(0.025Ac)</t>
  </si>
  <si>
    <t>Provided Reinforcement</t>
  </si>
  <si>
    <t>provide Ast</t>
  </si>
  <si>
    <t>Ast ,CHECK</t>
  </si>
  <si>
    <t>B.Check For Shear</t>
  </si>
  <si>
    <t>Check For Shear</t>
  </si>
  <si>
    <t>Minimum Axial (V) =</t>
  </si>
  <si>
    <t>bw =</t>
  </si>
  <si>
    <t>K =</t>
  </si>
  <si>
    <t>&lt;= 0.02</t>
  </si>
  <si>
    <t>KN  &gt;</t>
  </si>
  <si>
    <t>Ac=</t>
  </si>
  <si>
    <t>mm2</t>
  </si>
  <si>
    <t>σcp =</t>
  </si>
  <si>
    <t>Ast=</t>
  </si>
  <si>
    <t>Fck=</t>
  </si>
  <si>
    <t>ρ1=</t>
  </si>
  <si>
    <t>vRd,c, min=</t>
  </si>
  <si>
    <t>vRd.c =</t>
  </si>
  <si>
    <t>VR,dc=</t>
  </si>
  <si>
    <t>&lt;=2</t>
  </si>
  <si>
    <t xml:space="preserve"> V,min =</t>
  </si>
  <si>
    <t>V=</t>
  </si>
  <si>
    <t>shear check</t>
  </si>
  <si>
    <t>c.Horizontal reinforcement</t>
  </si>
  <si>
    <t>vertical main</t>
  </si>
  <si>
    <t>mm dia</t>
  </si>
  <si>
    <t>@</t>
  </si>
  <si>
    <t>horizontal =</t>
  </si>
  <si>
    <t>stem height</t>
  </si>
  <si>
    <t>per meter</t>
  </si>
  <si>
    <t>25%Ast</t>
  </si>
  <si>
    <t>0.001Ac</t>
  </si>
  <si>
    <t xml:space="preserve">using </t>
  </si>
  <si>
    <t xml:space="preserve">provide </t>
  </si>
  <si>
    <t>mm c/c</t>
  </si>
  <si>
    <t>Ast</t>
  </si>
  <si>
    <t>cl.   irc 112  16.3.2</t>
  </si>
  <si>
    <t>D.vertical reinforcement</t>
  </si>
  <si>
    <t xml:space="preserve">kN </t>
  </si>
  <si>
    <t>pile Design</t>
  </si>
  <si>
    <t>A.Piles load</t>
  </si>
  <si>
    <t>Loads at the base of abutment stem</t>
  </si>
  <si>
    <t>loads</t>
  </si>
  <si>
    <t>Vloads</t>
  </si>
  <si>
    <t>Hloads</t>
  </si>
  <si>
    <t>My</t>
  </si>
  <si>
    <t>surface load</t>
  </si>
  <si>
    <t>live load</t>
  </si>
  <si>
    <t>self load</t>
  </si>
  <si>
    <t>surchage</t>
  </si>
  <si>
    <t>seismic load</t>
  </si>
  <si>
    <t>1.sup Dl</t>
  </si>
  <si>
    <t>2.Abutment DL</t>
  </si>
  <si>
    <t>3.Earth pressure</t>
  </si>
  <si>
    <t>Earth pressure(horizontal)</t>
  </si>
  <si>
    <t>Earth pressure(vertical)</t>
  </si>
  <si>
    <t>unfactored loads</t>
  </si>
  <si>
    <t>C1</t>
  </si>
  <si>
    <t>C2</t>
  </si>
  <si>
    <t>C3</t>
  </si>
  <si>
    <t>1.C1</t>
  </si>
  <si>
    <t xml:space="preserve">loads </t>
  </si>
  <si>
    <t>self loads</t>
  </si>
  <si>
    <t xml:space="preserve">Surface loads </t>
  </si>
  <si>
    <t xml:space="preserve">Live loads </t>
  </si>
  <si>
    <t>Earth pressure (vertical)</t>
  </si>
  <si>
    <t>seusmic load</t>
  </si>
  <si>
    <t>1.sup dl</t>
  </si>
  <si>
    <t>4.Dynamic Surchage</t>
  </si>
  <si>
    <t>1.C2</t>
  </si>
  <si>
    <t>3.C3</t>
  </si>
  <si>
    <t>Summary of loads</t>
  </si>
  <si>
    <t>V</t>
  </si>
  <si>
    <t>H</t>
  </si>
  <si>
    <t>Pile cap Geometry</t>
  </si>
  <si>
    <t>Thickness</t>
  </si>
  <si>
    <t>Pile configuration</t>
  </si>
  <si>
    <t xml:space="preserve">edge projection </t>
  </si>
  <si>
    <t>Length(cap)</t>
  </si>
  <si>
    <t>Width(cap)</t>
  </si>
  <si>
    <t>3*3 piles c/c 4.2m and edge projection 1.5 m</t>
  </si>
  <si>
    <t>Additional load on cap</t>
  </si>
  <si>
    <t xml:space="preserve">Additional load on pile </t>
  </si>
  <si>
    <t>piles N</t>
  </si>
  <si>
    <t>y</t>
  </si>
  <si>
    <t>z</t>
  </si>
  <si>
    <r>
      <t>y</t>
    </r>
    <r>
      <rPr>
        <vertAlign val="superscript"/>
        <sz val="11"/>
        <color theme="1"/>
        <rFont val="Arial"/>
        <family val="2"/>
        <scheme val="minor"/>
      </rPr>
      <t>2</t>
    </r>
  </si>
  <si>
    <r>
      <t>z</t>
    </r>
    <r>
      <rPr>
        <vertAlign val="superscript"/>
        <sz val="11"/>
        <color theme="1"/>
        <rFont val="Arial"/>
        <family val="2"/>
        <scheme val="minor"/>
      </rPr>
      <t>2</t>
    </r>
  </si>
  <si>
    <t>load distribution on piles</t>
  </si>
  <si>
    <t>length</t>
  </si>
  <si>
    <t>Diameter of piles</t>
  </si>
  <si>
    <t>no of piles</t>
  </si>
  <si>
    <t>case-1</t>
  </si>
  <si>
    <t>Axial</t>
  </si>
  <si>
    <t>Hz</t>
  </si>
  <si>
    <t>total</t>
  </si>
  <si>
    <t>case-2</t>
  </si>
  <si>
    <t>case-3</t>
  </si>
  <si>
    <t>Extremly loaded piles</t>
  </si>
  <si>
    <t>case 1</t>
  </si>
  <si>
    <t>case 2</t>
  </si>
  <si>
    <t>case 3</t>
  </si>
  <si>
    <t>moment at base of pile cap</t>
  </si>
  <si>
    <t xml:space="preserve">Total moment at base </t>
  </si>
  <si>
    <t>kNm</t>
  </si>
  <si>
    <t>Moment at base of pile due to horizontal load</t>
  </si>
  <si>
    <t>Total moment at base of pile cap</t>
  </si>
  <si>
    <t>moment at base of pile cap due to Horizontal load</t>
  </si>
  <si>
    <t>Pile Design</t>
  </si>
  <si>
    <t xml:space="preserve">Pile length </t>
  </si>
  <si>
    <t>pile diameter</t>
  </si>
  <si>
    <t>sub soil parameter for modellig</t>
  </si>
  <si>
    <t>kN/m3</t>
  </si>
  <si>
    <t>very loose sand (nh)</t>
  </si>
  <si>
    <t>moment of inertia of x-section</t>
  </si>
  <si>
    <r>
      <t>m</t>
    </r>
    <r>
      <rPr>
        <vertAlign val="superscript"/>
        <sz val="11"/>
        <color theme="1"/>
        <rFont val="Arial"/>
        <family val="2"/>
        <scheme val="minor"/>
      </rPr>
      <t>4</t>
    </r>
  </si>
  <si>
    <t>Young modulus of pile material</t>
  </si>
  <si>
    <t>Stiffness factor in m (T)</t>
  </si>
  <si>
    <t>2T</t>
  </si>
  <si>
    <t>4T</t>
  </si>
  <si>
    <t>proposed length of pile</t>
  </si>
  <si>
    <r>
      <t>scour depth(l</t>
    </r>
    <r>
      <rPr>
        <vertAlign val="subscript"/>
        <sz val="11"/>
        <color theme="1"/>
        <rFont val="Arial"/>
        <family val="2"/>
        <scheme val="minor"/>
      </rPr>
      <t>1</t>
    </r>
    <r>
      <rPr>
        <sz val="11"/>
        <color theme="1"/>
        <rFont val="Arial"/>
        <family val="2"/>
        <scheme val="minor"/>
      </rPr>
      <t>)=e</t>
    </r>
  </si>
  <si>
    <t>l1/T</t>
  </si>
  <si>
    <t>Lf/T</t>
  </si>
  <si>
    <t xml:space="preserve">L1/T </t>
  </si>
  <si>
    <t xml:space="preserve">from graph </t>
  </si>
  <si>
    <t>Lf=zf</t>
  </si>
  <si>
    <t>Loads from pile cap</t>
  </si>
  <si>
    <t>For Fixed Head</t>
  </si>
  <si>
    <t xml:space="preserve">Deflection </t>
  </si>
  <si>
    <t>moment</t>
  </si>
  <si>
    <t>Calculation of Pile capacity</t>
  </si>
  <si>
    <t>unit wt o soil</t>
  </si>
  <si>
    <t>Frictional coefficient</t>
  </si>
  <si>
    <t>Assuming skin Friction is applied before end bearing</t>
  </si>
  <si>
    <t>pile dia</t>
  </si>
  <si>
    <t>pile length</t>
  </si>
  <si>
    <r>
      <t>A</t>
    </r>
    <r>
      <rPr>
        <vertAlign val="subscript"/>
        <sz val="11"/>
        <color theme="1"/>
        <rFont val="Arial"/>
        <family val="2"/>
        <scheme val="minor"/>
      </rPr>
      <t>p</t>
    </r>
  </si>
  <si>
    <t>As</t>
  </si>
  <si>
    <r>
      <t>m</t>
    </r>
    <r>
      <rPr>
        <vertAlign val="superscript"/>
        <sz val="11"/>
        <color theme="1"/>
        <rFont val="Arial"/>
        <family val="2"/>
        <scheme val="minor"/>
      </rPr>
      <t>2</t>
    </r>
  </si>
  <si>
    <t>Overburden pressure</t>
  </si>
  <si>
    <t>Level</t>
  </si>
  <si>
    <t>Friction</t>
  </si>
  <si>
    <t>Total Skin Friction =</t>
  </si>
  <si>
    <t>FoS</t>
  </si>
  <si>
    <t>Fi =</t>
  </si>
  <si>
    <t>Ki =</t>
  </si>
  <si>
    <t>del =</t>
  </si>
  <si>
    <t>Tan(del)=</t>
  </si>
  <si>
    <t>Soil=</t>
  </si>
  <si>
    <t>Gamma</t>
  </si>
  <si>
    <t>End Bearing =</t>
  </si>
  <si>
    <t>times</t>
  </si>
  <si>
    <t>dia =</t>
  </si>
  <si>
    <t>End bearing must be taken upto 15 times dia. Of pile for greater depth.</t>
  </si>
  <si>
    <t>Nq</t>
  </si>
  <si>
    <t xml:space="preserve">For Pd </t>
  </si>
  <si>
    <t>Pd =</t>
  </si>
  <si>
    <t>Nr</t>
  </si>
  <si>
    <t>Ap=</t>
  </si>
  <si>
    <t>EB=</t>
  </si>
  <si>
    <t>Total End Bearing=</t>
  </si>
  <si>
    <t>Total Capacity of the pile =</t>
  </si>
  <si>
    <t>ka</t>
  </si>
  <si>
    <r>
      <t>l</t>
    </r>
    <r>
      <rPr>
        <vertAlign val="subscript"/>
        <sz val="11"/>
        <color rgb="FFFF0000"/>
        <rFont val="Arial"/>
        <family val="2"/>
        <scheme val="minor"/>
      </rPr>
      <t>e</t>
    </r>
  </si>
  <si>
    <r>
      <t>l</t>
    </r>
    <r>
      <rPr>
        <vertAlign val="subscript"/>
        <sz val="11"/>
        <color rgb="FFFF0000"/>
        <rFont val="Arial"/>
        <family val="2"/>
        <scheme val="minor"/>
      </rPr>
      <t>p</t>
    </r>
  </si>
  <si>
    <t>M30</t>
  </si>
  <si>
    <t xml:space="preserve">pedestrian load </t>
  </si>
  <si>
    <t>vertical reaction due to braking load</t>
  </si>
  <si>
    <t>horizontal</t>
  </si>
  <si>
    <t>vertical</t>
  </si>
  <si>
    <t>summary of loads</t>
  </si>
  <si>
    <t xml:space="preserve">horizontal </t>
  </si>
  <si>
    <t xml:space="preserve">vertical </t>
  </si>
  <si>
    <t>length(purposed)</t>
  </si>
  <si>
    <t>edge projection</t>
  </si>
  <si>
    <t>Extremly loaded pile</t>
  </si>
  <si>
    <t>H(kN)</t>
  </si>
  <si>
    <t>P(kN)</t>
  </si>
  <si>
    <t>P</t>
  </si>
  <si>
    <t>Stem W =</t>
  </si>
  <si>
    <t>Stem L =</t>
  </si>
  <si>
    <t>And 0.0012 of Ac =</t>
  </si>
  <si>
    <t>Ф =</t>
  </si>
  <si>
    <t>Spacing =</t>
  </si>
  <si>
    <t xml:space="preserve">Using </t>
  </si>
  <si>
    <t xml:space="preserve">Adopt </t>
  </si>
  <si>
    <t>mm @</t>
  </si>
  <si>
    <t>Check:</t>
  </si>
  <si>
    <t>allowable Maximum  reinforcement=</t>
  </si>
  <si>
    <t>allowable Minimum  reinforcement at rear face=</t>
  </si>
  <si>
    <r>
      <t>A</t>
    </r>
    <r>
      <rPr>
        <vertAlign val="subscript"/>
        <sz val="11"/>
        <rFont val="Arial"/>
        <family val="2"/>
        <scheme val="minor"/>
      </rPr>
      <t>b</t>
    </r>
    <r>
      <rPr>
        <sz val="11"/>
        <rFont val="Arial"/>
        <family val="2"/>
        <scheme val="minor"/>
      </rPr>
      <t>=</t>
    </r>
  </si>
  <si>
    <r>
      <t>A</t>
    </r>
    <r>
      <rPr>
        <vertAlign val="subscript"/>
        <sz val="11"/>
        <rFont val="Arial"/>
        <family val="2"/>
        <scheme val="minor"/>
      </rPr>
      <t>st</t>
    </r>
    <r>
      <rPr>
        <sz val="11"/>
        <rFont val="Arial"/>
        <family val="2"/>
        <scheme val="minor"/>
      </rPr>
      <t xml:space="preserve"> provided=</t>
    </r>
  </si>
  <si>
    <r>
      <t>mm</t>
    </r>
    <r>
      <rPr>
        <vertAlign val="superscript"/>
        <sz val="11"/>
        <rFont val="Arial"/>
        <family val="2"/>
        <scheme val="minor"/>
      </rPr>
      <t>2</t>
    </r>
  </si>
  <si>
    <r>
      <t>A</t>
    </r>
    <r>
      <rPr>
        <vertAlign val="subscript"/>
        <sz val="11"/>
        <rFont val="Arial"/>
        <family val="2"/>
        <scheme val="minor"/>
      </rPr>
      <t>st</t>
    </r>
    <r>
      <rPr>
        <sz val="11"/>
        <rFont val="Arial"/>
        <family val="2"/>
        <scheme val="minor"/>
      </rPr>
      <t xml:space="preserve"> provided rear face=</t>
    </r>
  </si>
  <si>
    <r>
      <t>A</t>
    </r>
    <r>
      <rPr>
        <vertAlign val="subscript"/>
        <sz val="11"/>
        <rFont val="Arial"/>
        <family val="2"/>
        <scheme val="minor"/>
      </rPr>
      <t>st</t>
    </r>
    <r>
      <rPr>
        <sz val="11"/>
        <rFont val="Arial"/>
        <family val="2"/>
        <scheme val="minor"/>
      </rPr>
      <t xml:space="preserve"> provided at front face=</t>
    </r>
  </si>
  <si>
    <t>Load factor for serviceability Limit State</t>
  </si>
  <si>
    <t>Rare combination</t>
  </si>
  <si>
    <t>Bending Moment for Crack width check=</t>
  </si>
  <si>
    <t>KNm</t>
  </si>
  <si>
    <t>Bw=</t>
  </si>
  <si>
    <t>Lever Arm =</t>
  </si>
  <si>
    <t>H=</t>
  </si>
  <si>
    <t xml:space="preserve">mm      </t>
  </si>
  <si>
    <t>d=</t>
  </si>
  <si>
    <t>c=</t>
  </si>
  <si>
    <t>Crack width =</t>
  </si>
  <si>
    <t xml:space="preserve">mm  </t>
  </si>
  <si>
    <t>for severe case</t>
  </si>
  <si>
    <t>E. Crack width</t>
  </si>
  <si>
    <r>
      <t>Area of Steel provided ( A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 xml:space="preserve"> )=</t>
    </r>
  </si>
  <si>
    <r>
      <t>H</t>
    </r>
    <r>
      <rPr>
        <vertAlign val="subscript"/>
        <sz val="11"/>
        <rFont val="Arial"/>
        <family val="2"/>
      </rPr>
      <t>c,eff</t>
    </r>
    <r>
      <rPr>
        <sz val="11"/>
        <rFont val="Arial"/>
        <family val="2"/>
      </rPr>
      <t xml:space="preserve"> =</t>
    </r>
  </si>
  <si>
    <r>
      <t>x</t>
    </r>
    <r>
      <rPr>
        <vertAlign val="subscript"/>
        <sz val="11"/>
        <rFont val="Arial"/>
        <family val="2"/>
      </rPr>
      <t>u</t>
    </r>
    <r>
      <rPr>
        <sz val="11"/>
        <rFont val="Arial"/>
        <family val="2"/>
      </rPr>
      <t>=</t>
    </r>
  </si>
  <si>
    <r>
      <t>A</t>
    </r>
    <r>
      <rPr>
        <vertAlign val="subscript"/>
        <sz val="11"/>
        <rFont val="Arial"/>
        <family val="2"/>
      </rPr>
      <t xml:space="preserve">c,eff </t>
    </r>
    <r>
      <rPr>
        <sz val="11"/>
        <rFont val="Arial"/>
        <family val="2"/>
      </rPr>
      <t>=</t>
    </r>
  </si>
  <si>
    <r>
      <t>E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 xml:space="preserve"> =</t>
    </r>
  </si>
  <si>
    <r>
      <t>MPa ( N/mm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 xml:space="preserve"> )</t>
    </r>
  </si>
  <si>
    <r>
      <t>Actual Stress(σ</t>
    </r>
    <r>
      <rPr>
        <vertAlign val="subscript"/>
        <sz val="11"/>
        <rFont val="Arial"/>
        <family val="2"/>
      </rPr>
      <t>sc</t>
    </r>
    <r>
      <rPr>
        <sz val="11"/>
        <rFont val="Arial"/>
        <family val="2"/>
      </rPr>
      <t>)=</t>
    </r>
  </si>
  <si>
    <r>
      <t>K</t>
    </r>
    <r>
      <rPr>
        <vertAlign val="subscript"/>
        <sz val="11"/>
        <rFont val="Arial"/>
        <family val="2"/>
      </rPr>
      <t>t</t>
    </r>
    <r>
      <rPr>
        <sz val="11"/>
        <rFont val="Arial"/>
        <family val="2"/>
      </rPr>
      <t>=</t>
    </r>
  </si>
  <si>
    <r>
      <t>f</t>
    </r>
    <r>
      <rPr>
        <vertAlign val="subscript"/>
        <sz val="11"/>
        <rFont val="Arial"/>
        <family val="2"/>
      </rPr>
      <t>cm</t>
    </r>
    <r>
      <rPr>
        <sz val="11"/>
        <rFont val="Arial"/>
        <family val="2"/>
      </rPr>
      <t>= f</t>
    </r>
    <r>
      <rPr>
        <vertAlign val="subscript"/>
        <sz val="11"/>
        <rFont val="Arial"/>
        <family val="2"/>
      </rPr>
      <t>ck</t>
    </r>
    <r>
      <rPr>
        <sz val="11"/>
        <rFont val="Arial"/>
        <family val="2"/>
      </rPr>
      <t>+10 =</t>
    </r>
  </si>
  <si>
    <r>
      <t>F</t>
    </r>
    <r>
      <rPr>
        <vertAlign val="subscript"/>
        <sz val="11"/>
        <rFont val="Arial"/>
        <family val="2"/>
      </rPr>
      <t>ct,eff</t>
    </r>
    <r>
      <rPr>
        <sz val="11"/>
        <rFont val="Arial"/>
        <family val="2"/>
      </rPr>
      <t>=</t>
    </r>
  </si>
  <si>
    <r>
      <t>E</t>
    </r>
    <r>
      <rPr>
        <vertAlign val="subscript"/>
        <sz val="11"/>
        <rFont val="Arial"/>
        <family val="2"/>
      </rPr>
      <t>cm</t>
    </r>
    <r>
      <rPr>
        <sz val="11"/>
        <rFont val="Arial"/>
        <family val="2"/>
      </rPr>
      <t xml:space="preserve"> =</t>
    </r>
  </si>
  <si>
    <r>
      <t>MPa ( N/mm</t>
    </r>
    <r>
      <rPr>
        <vertAlign val="superscript"/>
        <sz val="11"/>
        <rFont val="Arial"/>
        <family val="2"/>
      </rPr>
      <t xml:space="preserve">2 </t>
    </r>
    <r>
      <rPr>
        <sz val="11"/>
        <rFont val="Arial"/>
        <family val="2"/>
      </rPr>
      <t>)</t>
    </r>
  </si>
  <si>
    <r>
      <t>ρ</t>
    </r>
    <r>
      <rPr>
        <vertAlign val="subscript"/>
        <sz val="11"/>
        <rFont val="Arial"/>
        <family val="2"/>
      </rPr>
      <t>1,eff</t>
    </r>
    <r>
      <rPr>
        <sz val="11"/>
        <rFont val="Arial"/>
        <family val="2"/>
      </rPr>
      <t>=</t>
    </r>
  </si>
  <si>
    <r>
      <t>α</t>
    </r>
    <r>
      <rPr>
        <vertAlign val="subscript"/>
        <sz val="11"/>
        <rFont val="Arial"/>
        <family val="2"/>
      </rPr>
      <t>e</t>
    </r>
    <r>
      <rPr>
        <sz val="11"/>
        <rFont val="Arial"/>
        <family val="2"/>
      </rPr>
      <t>=</t>
    </r>
  </si>
  <si>
    <r>
      <t xml:space="preserve"> ε</t>
    </r>
    <r>
      <rPr>
        <b/>
        <vertAlign val="subscript"/>
        <sz val="11"/>
        <rFont val="Arial"/>
        <family val="2"/>
      </rPr>
      <t>sm</t>
    </r>
    <r>
      <rPr>
        <b/>
        <sz val="11"/>
        <rFont val="Arial"/>
        <family val="2"/>
      </rPr>
      <t xml:space="preserve"> - ε</t>
    </r>
    <r>
      <rPr>
        <b/>
        <vertAlign val="subscript"/>
        <sz val="11"/>
        <rFont val="Arial"/>
        <family val="2"/>
      </rPr>
      <t>cm</t>
    </r>
    <r>
      <rPr>
        <b/>
        <sz val="11"/>
        <rFont val="Arial"/>
        <family val="2"/>
      </rPr>
      <t xml:space="preserve"> =</t>
    </r>
  </si>
  <si>
    <r>
      <t>&gt; 0.6 σ</t>
    </r>
    <r>
      <rPr>
        <vertAlign val="subscript"/>
        <sz val="11"/>
        <rFont val="Arial"/>
        <family val="2"/>
      </rPr>
      <t>sc</t>
    </r>
    <r>
      <rPr>
        <sz val="11"/>
        <rFont val="Arial"/>
        <family val="2"/>
      </rPr>
      <t>/E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 xml:space="preserve"> =</t>
    </r>
  </si>
  <si>
    <r>
      <t>S</t>
    </r>
    <r>
      <rPr>
        <b/>
        <vertAlign val="subscript"/>
        <sz val="11"/>
        <rFont val="Arial"/>
        <family val="2"/>
      </rPr>
      <t>r,max</t>
    </r>
    <r>
      <rPr>
        <b/>
        <sz val="11"/>
        <rFont val="Arial"/>
        <family val="2"/>
      </rPr>
      <t>=</t>
    </r>
  </si>
  <si>
    <r>
      <t>mm</t>
    </r>
    <r>
      <rPr>
        <vertAlign val="superscript"/>
        <sz val="11"/>
        <rFont val="Arial"/>
        <family val="2"/>
      </rPr>
      <t>2</t>
    </r>
  </si>
  <si>
    <t>scour depth below pile cap =</t>
  </si>
  <si>
    <t>remaining depth =</t>
  </si>
  <si>
    <t>From graph (interpolation)</t>
  </si>
  <si>
    <t xml:space="preserve">Pile cap Design </t>
  </si>
  <si>
    <t xml:space="preserve">Basic </t>
  </si>
  <si>
    <t>Factored(basic)</t>
  </si>
  <si>
    <t>Factored(seismic)</t>
  </si>
  <si>
    <t>Depth of pile cap</t>
  </si>
  <si>
    <t>basic</t>
  </si>
  <si>
    <t>seismic</t>
  </si>
  <si>
    <t xml:space="preserve">Factored pile n  cap loads </t>
  </si>
  <si>
    <t>Load factor</t>
  </si>
  <si>
    <t xml:space="preserve">Design values </t>
  </si>
  <si>
    <t xml:space="preserve">Axial </t>
  </si>
  <si>
    <t xml:space="preserve">max </t>
  </si>
  <si>
    <t>max</t>
  </si>
  <si>
    <t>Deflected length</t>
  </si>
  <si>
    <t>Bearing pressure</t>
  </si>
  <si>
    <t xml:space="preserve">Structural </t>
  </si>
  <si>
    <t>Check for Puncing Shear</t>
  </si>
  <si>
    <t>Ast =</t>
  </si>
  <si>
    <t>mm dia @</t>
  </si>
  <si>
    <t>Rho1=</t>
  </si>
  <si>
    <t>% of steel</t>
  </si>
  <si>
    <t>fctm</t>
  </si>
  <si>
    <t>fck =</t>
  </si>
  <si>
    <t>min=</t>
  </si>
  <si>
    <t>Depth of pile cap =</t>
  </si>
  <si>
    <t>Cover =</t>
  </si>
  <si>
    <t>effective Depth =</t>
  </si>
  <si>
    <t>Pile force =</t>
  </si>
  <si>
    <t>Dia. of pile =</t>
  </si>
  <si>
    <t>Edge Projction=</t>
  </si>
  <si>
    <t>offset considered =</t>
  </si>
  <si>
    <t>( d offset )</t>
  </si>
  <si>
    <t>Radius  Of control perimeter =</t>
  </si>
  <si>
    <t>At control perimeter</t>
  </si>
  <si>
    <t>For internal pile</t>
  </si>
  <si>
    <t>So, ui=</t>
  </si>
  <si>
    <t>e=</t>
  </si>
  <si>
    <t>Beta=</t>
  </si>
  <si>
    <t>vEd =</t>
  </si>
  <si>
    <t>&lt;=2.0</t>
  </si>
  <si>
    <t>vrmin =</t>
  </si>
  <si>
    <t>k =</t>
  </si>
  <si>
    <t>from IRC 112 pg 101 table</t>
  </si>
  <si>
    <t>vRdc =</t>
  </si>
  <si>
    <t>&gt; vmin</t>
  </si>
  <si>
    <t>For corner pile</t>
  </si>
  <si>
    <t>So, u1=</t>
  </si>
  <si>
    <t>angle for corner pile</t>
  </si>
  <si>
    <t>u2=</t>
  </si>
  <si>
    <t>W=</t>
  </si>
  <si>
    <t>At face of pile</t>
  </si>
  <si>
    <t>v=</t>
  </si>
  <si>
    <r>
      <t>v</t>
    </r>
    <r>
      <rPr>
        <vertAlign val="subscript"/>
        <sz val="11"/>
        <color theme="1"/>
        <rFont val="Times New Roman"/>
        <family val="1"/>
      </rPr>
      <t>Rdmax=</t>
    </r>
  </si>
  <si>
    <r>
      <t>N/mm</t>
    </r>
    <r>
      <rPr>
        <vertAlign val="superscript"/>
        <sz val="11"/>
        <color theme="1"/>
        <rFont val="Times New Roman"/>
        <family val="1"/>
      </rPr>
      <t>2</t>
    </r>
  </si>
  <si>
    <r>
      <t>v</t>
    </r>
    <r>
      <rPr>
        <vertAlign val="subscript"/>
        <sz val="11"/>
        <color theme="1"/>
        <rFont val="Times New Roman"/>
        <family val="1"/>
      </rPr>
      <t>Ed</t>
    </r>
    <r>
      <rPr>
        <sz val="11"/>
        <color theme="1"/>
        <rFont val="Times New Roman"/>
        <family val="1"/>
      </rPr>
      <t>=</t>
    </r>
  </si>
  <si>
    <t>Depth =</t>
  </si>
  <si>
    <t>Width of the Slab ( at edge over heavily loaded piles )</t>
  </si>
  <si>
    <t>b =</t>
  </si>
  <si>
    <t>Effective d =</t>
  </si>
  <si>
    <t>Es =</t>
  </si>
  <si>
    <t>Fe =</t>
  </si>
  <si>
    <r>
      <t>f</t>
    </r>
    <r>
      <rPr>
        <vertAlign val="subscript"/>
        <sz val="10"/>
        <rFont val="Arial"/>
        <family val="2"/>
      </rPr>
      <t>yd</t>
    </r>
    <r>
      <rPr>
        <sz val="10"/>
        <rFont val="Arial"/>
        <family val="2"/>
      </rPr>
      <t>=</t>
    </r>
  </si>
  <si>
    <r>
      <t xml:space="preserve">Area Factor </t>
    </r>
    <r>
      <rPr>
        <sz val="10"/>
        <rFont val="Times New Roman"/>
        <family val="1"/>
      </rPr>
      <t>β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</si>
  <si>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CG Factor  β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</si>
  <si>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t>ε</t>
    </r>
    <r>
      <rPr>
        <vertAlign val="subscript"/>
        <sz val="11"/>
        <color theme="1"/>
        <rFont val="Times New Roman"/>
        <family val="1"/>
      </rPr>
      <t>uk</t>
    </r>
    <r>
      <rPr>
        <sz val="11"/>
        <color theme="1"/>
        <rFont val="Times New Roman"/>
        <family val="1"/>
      </rPr>
      <t>=</t>
    </r>
  </si>
  <si>
    <t>Factored BM at the edge =</t>
  </si>
  <si>
    <r>
      <t>ε</t>
    </r>
    <r>
      <rPr>
        <vertAlign val="subscript"/>
        <sz val="11"/>
        <color theme="1"/>
        <rFont val="Times New Roman"/>
        <family val="1"/>
      </rPr>
      <t>ud</t>
    </r>
    <r>
      <rPr>
        <sz val="11"/>
        <color theme="1"/>
        <rFont val="Times New Roman"/>
        <family val="1"/>
      </rPr>
      <t>=</t>
    </r>
  </si>
  <si>
    <r>
      <t>ε</t>
    </r>
    <r>
      <rPr>
        <vertAlign val="subscript"/>
        <sz val="11"/>
        <color theme="1"/>
        <rFont val="Times New Roman"/>
        <family val="1"/>
      </rPr>
      <t>yk</t>
    </r>
    <r>
      <rPr>
        <sz val="11"/>
        <color theme="1"/>
        <rFont val="Times New Roman"/>
        <family val="1"/>
      </rPr>
      <t>=</t>
    </r>
  </si>
  <si>
    <r>
      <t>ε</t>
    </r>
    <r>
      <rPr>
        <vertAlign val="subscript"/>
        <sz val="11"/>
        <color theme="1"/>
        <rFont val="Times New Roman"/>
        <family val="1"/>
      </rPr>
      <t>yd</t>
    </r>
    <r>
      <rPr>
        <sz val="11"/>
        <color theme="1"/>
        <rFont val="Times New Roman"/>
        <family val="1"/>
      </rPr>
      <t>=</t>
    </r>
  </si>
  <si>
    <t>Total</t>
  </si>
  <si>
    <t>Compression Strain =</t>
  </si>
  <si>
    <r>
      <t>NA</t>
    </r>
    <r>
      <rPr>
        <vertAlign val="subscript"/>
        <sz val="11"/>
        <color theme="1"/>
        <rFont val="Times New Roman"/>
        <family val="1"/>
      </rPr>
      <t>lim</t>
    </r>
    <r>
      <rPr>
        <sz val="11"/>
        <color theme="1"/>
        <rFont val="Times New Roman"/>
        <family val="1"/>
      </rPr>
      <t xml:space="preserve"> =</t>
    </r>
  </si>
  <si>
    <t>Steel tensile strain =</t>
  </si>
  <si>
    <t>Compressive Force =</t>
  </si>
  <si>
    <r>
      <t>M</t>
    </r>
    <r>
      <rPr>
        <vertAlign val="subscript"/>
        <sz val="11"/>
        <color theme="1"/>
        <rFont val="Times New Roman"/>
        <family val="1"/>
      </rPr>
      <t>lim</t>
    </r>
    <r>
      <rPr>
        <sz val="11"/>
        <color theme="1"/>
        <rFont val="Times New Roman"/>
        <family val="1"/>
      </rPr>
      <t xml:space="preserve"> =</t>
    </r>
  </si>
  <si>
    <t>Check</t>
  </si>
  <si>
    <t>Steel Required =</t>
  </si>
  <si>
    <t xml:space="preserve">which is </t>
  </si>
  <si>
    <t xml:space="preserve">mm dia </t>
  </si>
  <si>
    <t>Nos</t>
  </si>
  <si>
    <t>spacing =</t>
  </si>
  <si>
    <t>Steel provided</t>
  </si>
  <si>
    <t>nos</t>
  </si>
  <si>
    <t>Ast Provided=</t>
  </si>
  <si>
    <t>Shear Capacity Check</t>
  </si>
  <si>
    <t>Design SF =</t>
  </si>
  <si>
    <t>rho =</t>
  </si>
  <si>
    <t>K=</t>
  </si>
  <si>
    <t>vmin =</t>
  </si>
  <si>
    <t>vrd =</t>
  </si>
  <si>
    <t>SF =</t>
  </si>
  <si>
    <t>KN   or</t>
  </si>
  <si>
    <t>OK</t>
  </si>
  <si>
    <t xml:space="preserve">Horizontal Reinforcement 0.001 Ac </t>
  </si>
  <si>
    <t>m2 =</t>
  </si>
  <si>
    <t>mm bar ;</t>
  </si>
  <si>
    <t>mm bar @</t>
  </si>
  <si>
    <t>Wt (kN)</t>
  </si>
  <si>
    <r>
      <t>kN/m</t>
    </r>
    <r>
      <rPr>
        <vertAlign val="superscript"/>
        <sz val="11"/>
        <rFont val="Arial"/>
        <family val="2"/>
      </rPr>
      <t>2</t>
    </r>
  </si>
  <si>
    <t>component</t>
  </si>
  <si>
    <t>lever arm(m)</t>
  </si>
  <si>
    <t>frequent</t>
  </si>
  <si>
    <t>quasi</t>
  </si>
  <si>
    <t>Factored loads(Frequent combination)</t>
  </si>
  <si>
    <t>Factored loads(Quasi combination)</t>
  </si>
  <si>
    <t>Factored loads(Rare combination)</t>
  </si>
  <si>
    <t>stem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</si>
</sst>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0.000000"/>
    <numFmt numFmtId="168" formatCode="_(* #,##0_);_(* \(#,##0\);_(* &quot;-&quot;??_);_(@_)"/>
    <numFmt numFmtId="169" formatCode="_(* #,##0.0000_);_(* \(#,##0.0000\);_(* &quot;-&quot;??_);_(@_)"/>
    <numFmt numFmtId="170" formatCode="_(* #,##0.000_);_(* \(#,##0.000\);_(* &quot;-&quot;??_);_(@_)"/>
    <numFmt numFmtId="171" formatCode="_(* #,##0.0_);_(* \(#,##0.0\);_(* &quot;-&quot;??_);_(@_)"/>
    <numFmt numFmtId="172" formatCode="0.0000000"/>
    <numFmt numFmtId="173" formatCode="0.00000"/>
  </numFmts>
  <fonts count="5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C0000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perscript"/>
      <sz val="11"/>
      <name val="Arial"/>
      <family val="2"/>
    </font>
    <font>
      <vertAlign val="superscript"/>
      <sz val="11"/>
      <color theme="1"/>
      <name val="Arial"/>
      <family val="2"/>
    </font>
    <font>
      <u/>
      <sz val="11"/>
      <name val="Arial"/>
      <family val="2"/>
    </font>
    <font>
      <sz val="11"/>
      <color rgb="FFC00000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theme="1"/>
      <name val="Symbol"/>
      <family val="1"/>
      <charset val="2"/>
    </font>
    <font>
      <vertAlign val="superscript"/>
      <sz val="11"/>
      <color theme="1"/>
      <name val="Arial"/>
      <family val="2"/>
      <scheme val="minor"/>
    </font>
    <font>
      <b/>
      <vertAlign val="superscript"/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name val="Symbol"/>
      <family val="1"/>
      <charset val="2"/>
    </font>
    <font>
      <b/>
      <sz val="11"/>
      <color theme="1"/>
      <name val="Symbol"/>
      <family val="1"/>
      <charset val="2"/>
    </font>
    <font>
      <b/>
      <sz val="11"/>
      <color theme="1"/>
      <name val="Arial"/>
      <family val="2"/>
      <scheme val="major"/>
    </font>
    <font>
      <b/>
      <sz val="10"/>
      <color theme="1"/>
      <name val="Arial"/>
      <family val="2"/>
    </font>
    <font>
      <b/>
      <i/>
      <sz val="11"/>
      <name val="Arial"/>
      <family val="2"/>
    </font>
    <font>
      <sz val="11"/>
      <color theme="1"/>
      <name val="Arial"/>
      <family val="2"/>
      <scheme val="major"/>
    </font>
    <font>
      <sz val="11"/>
      <name val="Arial"/>
      <family val="2"/>
      <scheme val="major"/>
    </font>
    <font>
      <b/>
      <i/>
      <sz val="11"/>
      <color theme="1"/>
      <name val="Arial"/>
      <family val="2"/>
      <scheme val="major"/>
    </font>
    <font>
      <sz val="11"/>
      <color rgb="FFC00000"/>
      <name val="Arial"/>
      <family val="2"/>
      <scheme val="major"/>
    </font>
    <font>
      <b/>
      <i/>
      <sz val="11"/>
      <name val="Arial"/>
      <family val="2"/>
      <scheme val="major"/>
    </font>
    <font>
      <b/>
      <sz val="12"/>
      <color theme="1"/>
      <name val="Arial"/>
      <family val="2"/>
      <scheme val="minor"/>
    </font>
    <font>
      <sz val="8"/>
      <name val="Arial"/>
      <family val="2"/>
      <scheme val="minor"/>
    </font>
    <font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rgb="FFFF0000"/>
      <name val="Arial"/>
      <family val="2"/>
      <scheme val="minor"/>
    </font>
    <font>
      <sz val="11"/>
      <name val="Arial"/>
      <family val="2"/>
      <scheme val="minor"/>
    </font>
    <font>
      <vertAlign val="subscript"/>
      <sz val="11"/>
      <name val="Arial"/>
      <family val="2"/>
      <scheme val="minor"/>
    </font>
    <font>
      <vertAlign val="superscript"/>
      <sz val="11"/>
      <name val="Arial"/>
      <family val="2"/>
      <scheme val="minor"/>
    </font>
    <font>
      <vertAlign val="subscript"/>
      <sz val="11"/>
      <name val="Arial"/>
      <family val="2"/>
    </font>
    <font>
      <b/>
      <vertAlign val="subscript"/>
      <sz val="11"/>
      <name val="Arial"/>
      <family val="2"/>
    </font>
    <font>
      <sz val="12"/>
      <color rgb="FF7030A0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rgb="FFFF0000"/>
      <name val="Times New Roman"/>
      <family val="1"/>
    </font>
    <font>
      <vertAlign val="subscript"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vertAlign val="subscript"/>
      <sz val="10"/>
      <name val="Arial"/>
      <family val="2"/>
    </font>
    <font>
      <sz val="1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7">
    <xf numFmtId="0" fontId="0" fillId="0" borderId="0"/>
    <xf numFmtId="0" fontId="2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61">
    <xf numFmtId="0" fontId="0" fillId="0" borderId="0" xfId="0"/>
    <xf numFmtId="0" fontId="2" fillId="0" borderId="0" xfId="1"/>
    <xf numFmtId="0" fontId="4" fillId="0" borderId="0" xfId="1" applyFont="1"/>
    <xf numFmtId="0" fontId="6" fillId="4" borderId="1" xfId="0" applyFont="1" applyFill="1" applyBorder="1"/>
    <xf numFmtId="0" fontId="6" fillId="0" borderId="0" xfId="0" applyFont="1"/>
    <xf numFmtId="0" fontId="6" fillId="0" borderId="1" xfId="0" applyFont="1" applyBorder="1"/>
    <xf numFmtId="0" fontId="5" fillId="0" borderId="0" xfId="1" applyFont="1"/>
    <xf numFmtId="0" fontId="7" fillId="0" borderId="1" xfId="1" applyFont="1" applyBorder="1"/>
    <xf numFmtId="0" fontId="5" fillId="0" borderId="1" xfId="1" applyFont="1" applyBorder="1" applyAlignment="1">
      <alignment horizontal="right"/>
    </xf>
    <xf numFmtId="164" fontId="5" fillId="0" borderId="1" xfId="1" applyNumberFormat="1" applyFont="1" applyBorder="1"/>
    <xf numFmtId="2" fontId="5" fillId="0" borderId="1" xfId="1" applyNumberFormat="1" applyFont="1" applyBorder="1"/>
    <xf numFmtId="2" fontId="5" fillId="0" borderId="6" xfId="1" applyNumberFormat="1" applyFont="1" applyBorder="1"/>
    <xf numFmtId="0" fontId="5" fillId="0" borderId="1" xfId="1" applyFont="1" applyBorder="1"/>
    <xf numFmtId="0" fontId="5" fillId="0" borderId="3" xfId="1" applyFont="1" applyBorder="1"/>
    <xf numFmtId="0" fontId="5" fillId="0" borderId="0" xfId="1" applyFont="1" applyAlignment="1">
      <alignment horizontal="right"/>
    </xf>
    <xf numFmtId="2" fontId="5" fillId="0" borderId="0" xfId="1" applyNumberFormat="1" applyFont="1"/>
    <xf numFmtId="0" fontId="8" fillId="0" borderId="0" xfId="1" applyFont="1"/>
    <xf numFmtId="0" fontId="6" fillId="0" borderId="0" xfId="1" applyFont="1"/>
    <xf numFmtId="0" fontId="6" fillId="2" borderId="5" xfId="1" applyFont="1" applyFill="1" applyBorder="1" applyAlignment="1">
      <alignment horizontal="left"/>
    </xf>
    <xf numFmtId="0" fontId="6" fillId="2" borderId="1" xfId="1" applyFont="1" applyFill="1" applyBorder="1" applyAlignment="1">
      <alignment horizontal="left"/>
    </xf>
    <xf numFmtId="0" fontId="6" fillId="0" borderId="1" xfId="1" applyFont="1" applyBorder="1"/>
    <xf numFmtId="0" fontId="6" fillId="2" borderId="2" xfId="1" applyFont="1" applyFill="1" applyBorder="1" applyAlignment="1">
      <alignment horizontal="left"/>
    </xf>
    <xf numFmtId="0" fontId="6" fillId="0" borderId="7" xfId="1" applyFont="1" applyBorder="1"/>
    <xf numFmtId="164" fontId="5" fillId="2" borderId="1" xfId="1" applyNumberFormat="1" applyFont="1" applyFill="1" applyBorder="1" applyAlignment="1">
      <alignment horizontal="center"/>
    </xf>
    <xf numFmtId="164" fontId="5" fillId="2" borderId="0" xfId="1" applyNumberFormat="1" applyFont="1" applyFill="1" applyAlignment="1">
      <alignment horizontal="center"/>
    </xf>
    <xf numFmtId="0" fontId="7" fillId="0" borderId="0" xfId="1" applyFont="1"/>
    <xf numFmtId="0" fontId="12" fillId="0" borderId="0" xfId="1" applyFont="1"/>
    <xf numFmtId="164" fontId="5" fillId="0" borderId="0" xfId="1" applyNumberFormat="1" applyFont="1"/>
    <xf numFmtId="2" fontId="5" fillId="0" borderId="0" xfId="1" applyNumberFormat="1" applyFont="1" applyAlignment="1">
      <alignment horizontal="left"/>
    </xf>
    <xf numFmtId="2" fontId="7" fillId="2" borderId="0" xfId="1" applyNumberFormat="1" applyFont="1" applyFill="1"/>
    <xf numFmtId="0" fontId="5" fillId="0" borderId="0" xfId="1" applyFont="1" applyAlignment="1">
      <alignment horizontal="center"/>
    </xf>
    <xf numFmtId="0" fontId="5" fillId="2" borderId="0" xfId="1" applyFont="1" applyFill="1"/>
    <xf numFmtId="165" fontId="5" fillId="0" borderId="0" xfId="1" applyNumberFormat="1" applyFont="1"/>
    <xf numFmtId="165" fontId="5" fillId="2" borderId="0" xfId="1" applyNumberFormat="1" applyFont="1" applyFill="1"/>
    <xf numFmtId="2" fontId="5" fillId="2" borderId="0" xfId="1" applyNumberFormat="1" applyFont="1" applyFill="1"/>
    <xf numFmtId="165" fontId="7" fillId="2" borderId="0" xfId="1" applyNumberFormat="1" applyFont="1" applyFill="1"/>
    <xf numFmtId="0" fontId="5" fillId="0" borderId="1" xfId="1" applyFont="1" applyBorder="1" applyAlignment="1">
      <alignment horizontal="center"/>
    </xf>
    <xf numFmtId="0" fontId="13" fillId="0" borderId="0" xfId="1" applyFont="1"/>
    <xf numFmtId="0" fontId="5" fillId="0" borderId="0" xfId="1" applyFont="1" applyAlignment="1">
      <alignment wrapText="1"/>
    </xf>
    <xf numFmtId="165" fontId="5" fillId="0" borderId="1" xfId="1" applyNumberFormat="1" applyFont="1" applyBorder="1"/>
    <xf numFmtId="165" fontId="13" fillId="0" borderId="0" xfId="1" applyNumberFormat="1" applyFont="1"/>
    <xf numFmtId="2" fontId="14" fillId="0" borderId="1" xfId="1" applyNumberFormat="1" applyFont="1" applyBorder="1"/>
    <xf numFmtId="164" fontId="13" fillId="0" borderId="0" xfId="1" applyNumberFormat="1" applyFont="1"/>
    <xf numFmtId="166" fontId="13" fillId="0" borderId="0" xfId="1" applyNumberFormat="1" applyFont="1"/>
    <xf numFmtId="164" fontId="6" fillId="3" borderId="1" xfId="1" applyNumberFormat="1" applyFont="1" applyFill="1" applyBorder="1"/>
    <xf numFmtId="164" fontId="6" fillId="0" borderId="1" xfId="1" applyNumberFormat="1" applyFont="1" applyBorder="1"/>
    <xf numFmtId="0" fontId="6" fillId="0" borderId="0" xfId="1" applyFont="1" applyAlignment="1">
      <alignment horizontal="right" wrapText="1"/>
    </xf>
    <xf numFmtId="1" fontId="5" fillId="0" borderId="0" xfId="1" applyNumberFormat="1" applyFont="1"/>
    <xf numFmtId="0" fontId="6" fillId="0" borderId="0" xfId="1" applyFont="1" applyAlignment="1">
      <alignment horizontal="right"/>
    </xf>
    <xf numFmtId="166" fontId="5" fillId="0" borderId="0" xfId="1" applyNumberFormat="1" applyFont="1"/>
    <xf numFmtId="0" fontId="5" fillId="0" borderId="0" xfId="1" applyFont="1" applyAlignment="1">
      <alignment vertical="center"/>
    </xf>
    <xf numFmtId="164" fontId="5" fillId="0" borderId="1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6" fillId="0" borderId="0" xfId="0" applyFont="1"/>
    <xf numFmtId="2" fontId="14" fillId="5" borderId="0" xfId="0" applyNumberFormat="1" applyFont="1" applyFill="1" applyAlignment="1">
      <alignment horizontal="center"/>
    </xf>
    <xf numFmtId="0" fontId="0" fillId="5" borderId="0" xfId="0" applyFill="1"/>
    <xf numFmtId="165" fontId="0" fillId="0" borderId="0" xfId="0" applyNumberFormat="1"/>
    <xf numFmtId="0" fontId="5" fillId="0" borderId="0" xfId="0" applyFont="1"/>
    <xf numFmtId="0" fontId="7" fillId="0" borderId="0" xfId="0" applyFont="1"/>
    <xf numFmtId="2" fontId="5" fillId="0" borderId="1" xfId="0" applyNumberFormat="1" applyFont="1" applyBorder="1"/>
    <xf numFmtId="0" fontId="13" fillId="0" borderId="0" xfId="0" applyFont="1"/>
    <xf numFmtId="0" fontId="5" fillId="0" borderId="0" xfId="0" applyFont="1" applyAlignment="1">
      <alignment horizontal="right"/>
    </xf>
    <xf numFmtId="2" fontId="5" fillId="0" borderId="0" xfId="0" applyNumberFormat="1" applyFont="1"/>
    <xf numFmtId="0" fontId="5" fillId="0" borderId="1" xfId="0" applyFont="1" applyBorder="1"/>
    <xf numFmtId="0" fontId="0" fillId="0" borderId="1" xfId="0" applyBorder="1"/>
    <xf numFmtId="0" fontId="12" fillId="0" borderId="1" xfId="0" applyFont="1" applyBorder="1" applyAlignment="1">
      <alignment horizontal="left"/>
    </xf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0" fontId="23" fillId="0" borderId="0" xfId="0" applyFont="1"/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5" fontId="0" fillId="5" borderId="0" xfId="0" applyNumberFormat="1" applyFill="1"/>
    <xf numFmtId="0" fontId="24" fillId="0" borderId="0" xfId="0" applyFont="1" applyAlignment="1">
      <alignment horizontal="center"/>
    </xf>
    <xf numFmtId="0" fontId="21" fillId="5" borderId="0" xfId="0" applyFont="1" applyFill="1"/>
    <xf numFmtId="0" fontId="5" fillId="0" borderId="1" xfId="0" applyFont="1" applyBorder="1" applyAlignment="1">
      <alignment horizontal="center"/>
    </xf>
    <xf numFmtId="165" fontId="0" fillId="0" borderId="1" xfId="0" applyNumberFormat="1" applyBorder="1"/>
    <xf numFmtId="0" fontId="2" fillId="0" borderId="0" xfId="0" applyFont="1"/>
    <xf numFmtId="0" fontId="4" fillId="0" borderId="0" xfId="0" applyFont="1"/>
    <xf numFmtId="0" fontId="26" fillId="0" borderId="1" xfId="0" applyFont="1" applyBorder="1" applyAlignment="1">
      <alignment horizontal="center"/>
    </xf>
    <xf numFmtId="164" fontId="5" fillId="0" borderId="1" xfId="0" applyNumberFormat="1" applyFont="1" applyBorder="1"/>
    <xf numFmtId="0" fontId="27" fillId="0" borderId="0" xfId="0" applyFont="1"/>
    <xf numFmtId="0" fontId="28" fillId="0" borderId="0" xfId="0" applyFont="1"/>
    <xf numFmtId="0" fontId="28" fillId="0" borderId="0" xfId="0" applyFont="1" applyAlignment="1">
      <alignment horizontal="left"/>
    </xf>
    <xf numFmtId="0" fontId="30" fillId="0" borderId="0" xfId="0" applyFont="1"/>
    <xf numFmtId="0" fontId="31" fillId="0" borderId="1" xfId="0" applyFont="1" applyBorder="1" applyAlignment="1">
      <alignment horizontal="center"/>
    </xf>
    <xf numFmtId="0" fontId="28" fillId="0" borderId="0" xfId="0" applyFont="1" applyAlignment="1">
      <alignment horizontal="right"/>
    </xf>
    <xf numFmtId="164" fontId="28" fillId="0" borderId="1" xfId="0" applyNumberFormat="1" applyFont="1" applyBorder="1"/>
    <xf numFmtId="164" fontId="28" fillId="0" borderId="0" xfId="0" applyNumberFormat="1" applyFont="1"/>
    <xf numFmtId="164" fontId="28" fillId="0" borderId="1" xfId="0" applyNumberFormat="1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64" fontId="29" fillId="0" borderId="0" xfId="0" applyNumberFormat="1" applyFont="1"/>
    <xf numFmtId="1" fontId="29" fillId="0" borderId="0" xfId="0" applyNumberFormat="1" applyFont="1"/>
    <xf numFmtId="167" fontId="0" fillId="0" borderId="0" xfId="0" applyNumberFormat="1"/>
    <xf numFmtId="164" fontId="21" fillId="0" borderId="0" xfId="0" applyNumberFormat="1" applyFont="1"/>
    <xf numFmtId="0" fontId="0" fillId="6" borderId="0" xfId="0" applyFill="1"/>
    <xf numFmtId="165" fontId="0" fillId="6" borderId="0" xfId="0" applyNumberFormat="1" applyFill="1"/>
    <xf numFmtId="0" fontId="0" fillId="7" borderId="0" xfId="0" applyFill="1"/>
    <xf numFmtId="165" fontId="0" fillId="7" borderId="0" xfId="0" applyNumberFormat="1" applyFill="1"/>
    <xf numFmtId="43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0" fillId="8" borderId="0" xfId="0" applyFill="1"/>
    <xf numFmtId="0" fontId="21" fillId="0" borderId="0" xfId="0" applyFont="1"/>
    <xf numFmtId="165" fontId="6" fillId="0" borderId="1" xfId="0" applyNumberFormat="1" applyFon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center"/>
    </xf>
    <xf numFmtId="0" fontId="34" fillId="0" borderId="0" xfId="0" applyFont="1"/>
    <xf numFmtId="165" fontId="34" fillId="0" borderId="0" xfId="0" applyNumberFormat="1" applyFont="1"/>
    <xf numFmtId="2" fontId="15" fillId="0" borderId="0" xfId="0" applyNumberFormat="1" applyFont="1"/>
    <xf numFmtId="164" fontId="34" fillId="9" borderId="0" xfId="0" applyNumberFormat="1" applyFont="1" applyFill="1"/>
    <xf numFmtId="0" fontId="34" fillId="9" borderId="0" xfId="0" applyFont="1" applyFill="1"/>
    <xf numFmtId="2" fontId="34" fillId="9" borderId="0" xfId="0" applyNumberFormat="1" applyFont="1" applyFill="1"/>
    <xf numFmtId="0" fontId="35" fillId="0" borderId="0" xfId="0" applyFont="1"/>
    <xf numFmtId="0" fontId="36" fillId="0" borderId="0" xfId="0" applyFont="1" applyAlignment="1">
      <alignment horizontal="right"/>
    </xf>
    <xf numFmtId="164" fontId="36" fillId="0" borderId="0" xfId="0" applyNumberFormat="1" applyFont="1"/>
    <xf numFmtId="164" fontId="37" fillId="0" borderId="0" xfId="0" applyNumberFormat="1" applyFont="1"/>
    <xf numFmtId="2" fontId="34" fillId="0" borderId="0" xfId="0" applyNumberFormat="1" applyFont="1"/>
    <xf numFmtId="0" fontId="34" fillId="0" borderId="0" xfId="0" applyFont="1" applyAlignment="1">
      <alignment horizontal="right"/>
    </xf>
    <xf numFmtId="166" fontId="34" fillId="0" borderId="0" xfId="0" applyNumberFormat="1" applyFont="1"/>
    <xf numFmtId="164" fontId="34" fillId="0" borderId="0" xfId="0" applyNumberFormat="1" applyFont="1"/>
    <xf numFmtId="0" fontId="37" fillId="0" borderId="0" xfId="0" applyFont="1" applyAlignment="1">
      <alignment horizontal="right"/>
    </xf>
    <xf numFmtId="0" fontId="37" fillId="0" borderId="0" xfId="0" applyFont="1"/>
    <xf numFmtId="0" fontId="34" fillId="10" borderId="0" xfId="0" applyFont="1" applyFill="1"/>
    <xf numFmtId="165" fontId="15" fillId="0" borderId="0" xfId="0" applyNumberFormat="1" applyFont="1"/>
    <xf numFmtId="0" fontId="26" fillId="0" borderId="1" xfId="0" applyFont="1" applyBorder="1" applyAlignment="1">
      <alignment horizontal="center" wrapText="1"/>
    </xf>
    <xf numFmtId="164" fontId="6" fillId="0" borderId="0" xfId="0" applyNumberFormat="1" applyFont="1"/>
    <xf numFmtId="164" fontId="15" fillId="0" borderId="0" xfId="0" applyNumberFormat="1" applyFont="1"/>
    <xf numFmtId="164" fontId="24" fillId="0" borderId="0" xfId="0" applyNumberFormat="1" applyFont="1"/>
    <xf numFmtId="0" fontId="14" fillId="0" borderId="0" xfId="0" applyFont="1" applyAlignment="1">
      <alignment vertical="center"/>
    </xf>
    <xf numFmtId="2" fontId="0" fillId="5" borderId="0" xfId="0" applyNumberFormat="1" applyFill="1"/>
    <xf numFmtId="0" fontId="0" fillId="11" borderId="0" xfId="0" applyFill="1"/>
    <xf numFmtId="2" fontId="0" fillId="0" borderId="1" xfId="0" applyNumberFormat="1" applyBorder="1"/>
    <xf numFmtId="0" fontId="5" fillId="0" borderId="4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39" fillId="0" borderId="0" xfId="0" applyFont="1"/>
    <xf numFmtId="1" fontId="39" fillId="0" borderId="0" xfId="0" applyNumberFormat="1" applyFont="1"/>
    <xf numFmtId="0" fontId="39" fillId="0" borderId="0" xfId="0" applyFont="1" applyAlignment="1">
      <alignment horizontal="right"/>
    </xf>
    <xf numFmtId="1" fontId="39" fillId="0" borderId="0" xfId="0" applyNumberFormat="1" applyFont="1" applyAlignment="1">
      <alignment horizontal="left"/>
    </xf>
    <xf numFmtId="0" fontId="39" fillId="12" borderId="0" xfId="0" applyFont="1" applyFill="1"/>
    <xf numFmtId="2" fontId="39" fillId="0" borderId="0" xfId="0" applyNumberFormat="1" applyFont="1" applyAlignment="1">
      <alignment horizontal="right"/>
    </xf>
    <xf numFmtId="0" fontId="39" fillId="13" borderId="0" xfId="0" applyFont="1" applyFill="1"/>
    <xf numFmtId="43" fontId="39" fillId="12" borderId="0" xfId="0" applyNumberFormat="1" applyFont="1" applyFill="1"/>
    <xf numFmtId="0" fontId="39" fillId="12" borderId="0" xfId="0" applyFont="1" applyFill="1" applyAlignment="1">
      <alignment horizontal="right"/>
    </xf>
    <xf numFmtId="2" fontId="6" fillId="0" borderId="0" xfId="0" applyNumberFormat="1" applyFont="1"/>
    <xf numFmtId="165" fontId="6" fillId="0" borderId="0" xfId="0" applyNumberFormat="1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2" fontId="26" fillId="0" borderId="0" xfId="0" applyNumberFormat="1" applyFont="1"/>
    <xf numFmtId="168" fontId="5" fillId="0" borderId="0" xfId="0" applyNumberFormat="1" applyFont="1"/>
    <xf numFmtId="1" fontId="5" fillId="0" borderId="0" xfId="0" applyNumberFormat="1" applyFont="1"/>
    <xf numFmtId="0" fontId="5" fillId="0" borderId="0" xfId="0" applyFont="1" applyAlignment="1">
      <alignment horizontal="left"/>
    </xf>
    <xf numFmtId="1" fontId="5" fillId="0" borderId="1" xfId="0" applyNumberFormat="1" applyFont="1" applyBorder="1"/>
    <xf numFmtId="0" fontId="5" fillId="0" borderId="0" xfId="0" applyFont="1" applyAlignment="1">
      <alignment horizontal="right" vertical="center"/>
    </xf>
    <xf numFmtId="43" fontId="5" fillId="0" borderId="0" xfId="0" applyNumberFormat="1" applyFont="1"/>
    <xf numFmtId="166" fontId="5" fillId="0" borderId="0" xfId="0" applyNumberFormat="1" applyFont="1"/>
    <xf numFmtId="165" fontId="5" fillId="0" borderId="0" xfId="0" applyNumberFormat="1" applyFont="1"/>
    <xf numFmtId="0" fontId="7" fillId="0" borderId="0" xfId="0" applyFont="1" applyAlignment="1">
      <alignment horizontal="right"/>
    </xf>
    <xf numFmtId="167" fontId="5" fillId="0" borderId="0" xfId="0" applyNumberFormat="1" applyFont="1"/>
    <xf numFmtId="172" fontId="5" fillId="0" borderId="0" xfId="0" applyNumberFormat="1" applyFont="1"/>
    <xf numFmtId="0" fontId="5" fillId="13" borderId="0" xfId="0" applyFont="1" applyFill="1"/>
    <xf numFmtId="43" fontId="5" fillId="14" borderId="0" xfId="0" applyNumberFormat="1" applyFont="1" applyFill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0" fontId="34" fillId="0" borderId="0" xfId="0" applyFont="1" applyAlignment="1">
      <alignment horizontal="center"/>
    </xf>
    <xf numFmtId="0" fontId="34" fillId="15" borderId="0" xfId="0" applyFont="1" applyFill="1"/>
    <xf numFmtId="2" fontId="34" fillId="0" borderId="0" xfId="0" applyNumberFormat="1" applyFont="1" applyAlignment="1">
      <alignment horizontal="right"/>
    </xf>
    <xf numFmtId="164" fontId="34" fillId="0" borderId="0" xfId="0" applyNumberFormat="1" applyFont="1" applyAlignment="1">
      <alignment horizontal="left"/>
    </xf>
    <xf numFmtId="0" fontId="34" fillId="0" borderId="0" xfId="0" applyFont="1" applyAlignment="1">
      <alignment horizontal="left"/>
    </xf>
    <xf numFmtId="164" fontId="34" fillId="0" borderId="0" xfId="0" applyNumberFormat="1" applyFont="1" applyAlignment="1">
      <alignment horizontal="center"/>
    </xf>
    <xf numFmtId="0" fontId="35" fillId="5" borderId="0" xfId="0" applyFont="1" applyFill="1"/>
    <xf numFmtId="0" fontId="46" fillId="0" borderId="0" xfId="0" applyFont="1"/>
    <xf numFmtId="0" fontId="34" fillId="16" borderId="0" xfId="0" applyFont="1" applyFill="1"/>
    <xf numFmtId="0" fontId="34" fillId="16" borderId="0" xfId="0" applyFont="1" applyFill="1" applyAlignment="1">
      <alignment horizontal="right"/>
    </xf>
    <xf numFmtId="0" fontId="34" fillId="0" borderId="10" xfId="0" applyFont="1" applyBorder="1" applyAlignment="1">
      <alignment horizontal="center"/>
    </xf>
    <xf numFmtId="0" fontId="34" fillId="0" borderId="11" xfId="0" applyFont="1" applyBorder="1"/>
    <xf numFmtId="0" fontId="34" fillId="0" borderId="12" xfId="0" applyFont="1" applyBorder="1"/>
    <xf numFmtId="2" fontId="34" fillId="0" borderId="2" xfId="0" applyNumberFormat="1" applyFont="1" applyBorder="1" applyAlignment="1">
      <alignment horizontal="center"/>
    </xf>
    <xf numFmtId="1" fontId="34" fillId="0" borderId="0" xfId="0" applyNumberFormat="1" applyFont="1"/>
    <xf numFmtId="2" fontId="34" fillId="0" borderId="0" xfId="0" applyNumberFormat="1" applyFont="1" applyAlignment="1">
      <alignment horizontal="center"/>
    </xf>
    <xf numFmtId="173" fontId="34" fillId="0" borderId="0" xfId="0" applyNumberFormat="1" applyFont="1"/>
    <xf numFmtId="0" fontId="34" fillId="17" borderId="0" xfId="0" applyFont="1" applyFill="1"/>
    <xf numFmtId="164" fontId="37" fillId="17" borderId="0" xfId="0" applyNumberFormat="1" applyFont="1" applyFill="1"/>
    <xf numFmtId="166" fontId="34" fillId="17" borderId="0" xfId="0" applyNumberFormat="1" applyFont="1" applyFill="1"/>
    <xf numFmtId="164" fontId="34" fillId="17" borderId="0" xfId="0" applyNumberFormat="1" applyFont="1" applyFill="1"/>
    <xf numFmtId="0" fontId="34" fillId="17" borderId="0" xfId="0" applyFont="1" applyFill="1" applyAlignment="1">
      <alignment horizontal="right"/>
    </xf>
    <xf numFmtId="164" fontId="46" fillId="5" borderId="0" xfId="0" applyNumberFormat="1" applyFont="1" applyFill="1"/>
    <xf numFmtId="164" fontId="34" fillId="18" borderId="0" xfId="0" applyNumberFormat="1" applyFont="1" applyFill="1"/>
    <xf numFmtId="0" fontId="34" fillId="19" borderId="0" xfId="0" applyFont="1" applyFill="1"/>
    <xf numFmtId="2" fontId="34" fillId="19" borderId="0" xfId="0" applyNumberFormat="1" applyFont="1" applyFill="1"/>
    <xf numFmtId="0" fontId="50" fillId="0" borderId="0" xfId="0" applyFon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center"/>
    </xf>
    <xf numFmtId="1" fontId="50" fillId="0" borderId="0" xfId="0" applyNumberFormat="1" applyFont="1"/>
    <xf numFmtId="2" fontId="50" fillId="0" borderId="0" xfId="0" applyNumberFormat="1" applyFont="1"/>
    <xf numFmtId="0" fontId="50" fillId="18" borderId="0" xfId="0" applyFont="1" applyFill="1"/>
    <xf numFmtId="0" fontId="34" fillId="18" borderId="0" xfId="0" applyFont="1" applyFill="1"/>
    <xf numFmtId="2" fontId="5" fillId="0" borderId="1" xfId="1" applyNumberFormat="1" applyFont="1" applyBorder="1" applyAlignment="1">
      <alignment horizontal="right"/>
    </xf>
    <xf numFmtId="2" fontId="6" fillId="4" borderId="1" xfId="0" applyNumberFormat="1" applyFont="1" applyFill="1" applyBorder="1"/>
    <xf numFmtId="2" fontId="21" fillId="5" borderId="0" xfId="0" applyNumberFormat="1" applyFont="1" applyFill="1"/>
    <xf numFmtId="164" fontId="5" fillId="0" borderId="0" xfId="0" applyNumberFormat="1" applyFont="1"/>
    <xf numFmtId="2" fontId="7" fillId="12" borderId="0" xfId="0" applyNumberFormat="1" applyFont="1" applyFill="1"/>
    <xf numFmtId="164" fontId="39" fillId="0" borderId="0" xfId="0" applyNumberFormat="1" applyFont="1"/>
    <xf numFmtId="2" fontId="5" fillId="0" borderId="1" xfId="1" applyNumberFormat="1" applyFont="1" applyBorder="1" applyAlignment="1">
      <alignment horizontal="left" indent="5"/>
    </xf>
    <xf numFmtId="0" fontId="26" fillId="0" borderId="6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26" fillId="0" borderId="1" xfId="0" applyFont="1" applyBorder="1" applyAlignment="1">
      <alignment horizontal="center" wrapText="1"/>
    </xf>
    <xf numFmtId="0" fontId="5" fillId="0" borderId="4" xfId="0" applyFont="1" applyBorder="1" applyAlignment="1">
      <alignment horizontal="left"/>
    </xf>
    <xf numFmtId="0" fontId="26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31" fillId="0" borderId="1" xfId="0" applyFont="1" applyBorder="1" applyAlignment="1">
      <alignment horizontal="center" wrapText="1"/>
    </xf>
    <xf numFmtId="0" fontId="25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7" fillId="0" borderId="0" xfId="1" applyFont="1" applyAlignment="1">
      <alignment horizontal="left"/>
    </xf>
    <xf numFmtId="0" fontId="5" fillId="0" borderId="0" xfId="1" applyFont="1" applyAlignment="1">
      <alignment horizontal="center"/>
    </xf>
    <xf numFmtId="0" fontId="6" fillId="0" borderId="1" xfId="1" applyFont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1" xfId="1" applyFont="1" applyBorder="1" applyAlignment="1">
      <alignment horizontal="center" wrapText="1"/>
    </xf>
    <xf numFmtId="0" fontId="8" fillId="0" borderId="1" xfId="1" applyFont="1" applyBorder="1" applyAlignment="1">
      <alignment horizontal="center"/>
    </xf>
    <xf numFmtId="165" fontId="13" fillId="0" borderId="8" xfId="1" applyNumberFormat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4" xfId="1" applyFont="1" applyBorder="1" applyAlignment="1">
      <alignment horizontal="center"/>
    </xf>
    <xf numFmtId="0" fontId="5" fillId="0" borderId="1" xfId="1" applyFont="1" applyBorder="1" applyAlignment="1">
      <alignment horizontal="right"/>
    </xf>
    <xf numFmtId="0" fontId="7" fillId="0" borderId="1" xfId="1" applyFont="1" applyBorder="1" applyAlignment="1">
      <alignment horizontal="center"/>
    </xf>
    <xf numFmtId="0" fontId="6" fillId="0" borderId="4" xfId="1" applyFont="1" applyBorder="1" applyAlignment="1">
      <alignment horizontal="right"/>
    </xf>
    <xf numFmtId="0" fontId="6" fillId="0" borderId="5" xfId="1" applyFont="1" applyBorder="1" applyAlignment="1">
      <alignment horizontal="right"/>
    </xf>
    <xf numFmtId="0" fontId="6" fillId="0" borderId="6" xfId="1" applyFont="1" applyBorder="1" applyAlignment="1">
      <alignment horizontal="right"/>
    </xf>
    <xf numFmtId="0" fontId="2" fillId="0" borderId="0" xfId="1" applyAlignment="1">
      <alignment horizontal="center"/>
    </xf>
    <xf numFmtId="0" fontId="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34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34" fillId="16" borderId="0" xfId="0" applyFont="1" applyFill="1" applyAlignment="1">
      <alignment horizontal="center"/>
    </xf>
    <xf numFmtId="0" fontId="34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5" borderId="0" xfId="0" applyFont="1" applyFill="1" applyAlignment="1">
      <alignment horizontal="center"/>
    </xf>
  </cellXfs>
  <cellStyles count="17">
    <cellStyle name="Comma 2" xfId="2" xr:uid="{0D4573CD-9729-43B9-8540-667EC403E90C}"/>
    <cellStyle name="Comma 2 2" xfId="10" xr:uid="{5F4DA9CA-79CD-485B-A722-D402FEF529D9}"/>
    <cellStyle name="Comma 3" xfId="6" xr:uid="{7F426458-1923-4D29-8181-0105117ECE69}"/>
    <cellStyle name="Comma 3 2" xfId="14" xr:uid="{F1344D88-9F7D-4640-8FE6-7732B42FA063}"/>
    <cellStyle name="Comma 4" xfId="8" xr:uid="{326695DA-5C64-446B-983B-71EF80428854}"/>
    <cellStyle name="Comma 4 2" xfId="16" xr:uid="{103E7FFB-89D2-4DE9-B1F0-BB32A183D207}"/>
    <cellStyle name="Normal" xfId="0" builtinId="0"/>
    <cellStyle name="Normal 2" xfId="3" xr:uid="{71F89471-B2B5-45F2-AEDD-8AF0A3BF67E7}"/>
    <cellStyle name="Normal 2 2" xfId="11" xr:uid="{D6493391-27E9-4F0F-84AA-7C403BA4CBFC}"/>
    <cellStyle name="Normal 3" xfId="4" xr:uid="{6AC9A279-38D6-4DD0-BA4D-BDB892DAE315}"/>
    <cellStyle name="Normal 3 2" xfId="12" xr:uid="{E2EA789D-C36D-4A76-8DE1-61CDE5F0AD93}"/>
    <cellStyle name="Normal 4" xfId="5" xr:uid="{24477723-068A-4E25-8364-76B87629910E}"/>
    <cellStyle name="Normal 4 2" xfId="13" xr:uid="{39CE46F2-555D-42F2-B571-6EB7AE115F5B}"/>
    <cellStyle name="Normal 5" xfId="7" xr:uid="{8D236B69-384A-4EB2-9E1A-A022CA8A5DF5}"/>
    <cellStyle name="Normal 5 2" xfId="15" xr:uid="{5E93F199-D66C-41B0-B9CB-FBCCD64A5B2E}"/>
    <cellStyle name="Normal 6" xfId="9" xr:uid="{55B32406-EDE6-43FE-B835-37DB74B32515}"/>
    <cellStyle name="Normal 7" xfId="1" xr:uid="{AAEE6112-FA02-4D7D-9FF8-640020992CC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'pile design'!$H$299:$H$304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</c:numCache>
            </c:numRef>
          </c:cat>
          <c:val>
            <c:numRef>
              <c:f>'pile design'!$I$299:$I$304</c:f>
              <c:numCache>
                <c:formatCode>0.000</c:formatCode>
                <c:ptCount val="6"/>
                <c:pt idx="0">
                  <c:v>2.2000000000000002</c:v>
                </c:pt>
                <c:pt idx="1">
                  <c:v>1.95</c:v>
                </c:pt>
                <c:pt idx="2">
                  <c:v>1.87</c:v>
                </c:pt>
                <c:pt idx="3">
                  <c:v>1.84</c:v>
                </c:pt>
                <c:pt idx="4">
                  <c:v>1.825</c:v>
                </c:pt>
                <c:pt idx="5">
                  <c:v>1.82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2-4179-A38B-C9AC40DDF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0773672"/>
        <c:axId val="700771376"/>
      </c:lineChart>
      <c:catAx>
        <c:axId val="70077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71376"/>
        <c:crosses val="autoZero"/>
        <c:auto val="1"/>
        <c:lblAlgn val="ctr"/>
        <c:lblOffset val="100"/>
        <c:noMultiLvlLbl val="0"/>
      </c:catAx>
      <c:valAx>
        <c:axId val="70077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7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472440</xdr:colOff>
      <xdr:row>202</xdr:row>
      <xdr:rowOff>22860</xdr:rowOff>
    </xdr:from>
    <xdr:to>
      <xdr:col>5</xdr:col>
      <xdr:colOff>740769</xdr:colOff>
      <xdr:row>208</xdr:row>
      <xdr:rowOff>92007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BF66A6AE-4578-41ED-92AD-62E853CA1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2440" y="35867340"/>
          <a:ext cx="4901289" cy="1120707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762000</xdr:colOff>
      <xdr:row>260</xdr:row>
      <xdr:rowOff>22860</xdr:rowOff>
    </xdr:from>
    <xdr:to>
      <xdr:col>7</xdr:col>
      <xdr:colOff>823238</xdr:colOff>
      <xdr:row>262</xdr:row>
      <xdr:rowOff>76235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712682-0321-396B-66D4-A66BDF342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5740" y="46116240"/>
          <a:ext cx="3208298" cy="4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373380</xdr:colOff>
      <xdr:row>309</xdr:row>
      <xdr:rowOff>53340</xdr:rowOff>
    </xdr:from>
    <xdr:to>
      <xdr:col>13</xdr:col>
      <xdr:colOff>555495</xdr:colOff>
      <xdr:row>313</xdr:row>
      <xdr:rowOff>98425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C9BBB7-F840-4634-A764-1B41E8038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98080" y="54978300"/>
          <a:ext cx="3748275" cy="746125"/>
        </a:xfrm>
        <a:prstGeom prst="rect">
          <a:avLst/>
        </a:prstGeom>
      </xdr:spPr>
    </xdr:pic>
    <xdr:clientData/>
  </xdr:twoCellAnchor>
  <xdr:twoCellAnchor editAs="oneCell">
    <xdr:from>
      <xdr:col>9</xdr:col>
      <xdr:colOff>220980</xdr:colOff>
      <xdr:row>313</xdr:row>
      <xdr:rowOff>99060</xdr:rowOff>
    </xdr:from>
    <xdr:to>
      <xdr:col>14</xdr:col>
      <xdr:colOff>67053</xdr:colOff>
      <xdr:row>317</xdr:row>
      <xdr:rowOff>138951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A1519BE-EF8D-47F1-ACC7-6FF75AC33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16240" y="55725060"/>
          <a:ext cx="3412233" cy="771411"/>
        </a:xfrm>
        <a:prstGeom prst="rect">
          <a:avLst/>
        </a:prstGeom>
      </xdr:spPr>
    </xdr:pic>
    <xdr:clientData/>
  </xdr:twoCellAnchor>
  <xdr:twoCellAnchor editAs="oneCell">
    <xdr:from>
      <xdr:col>10</xdr:col>
      <xdr:colOff>83820</xdr:colOff>
      <xdr:row>289</xdr:row>
      <xdr:rowOff>160020</xdr:rowOff>
    </xdr:from>
    <xdr:to>
      <xdr:col>16</xdr:col>
      <xdr:colOff>389943</xdr:colOff>
      <xdr:row>298</xdr:row>
      <xdr:rowOff>200343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3566E2-3946-4310-93F1-8C0620CCE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49640" y="51488340"/>
          <a:ext cx="4329483" cy="1617663"/>
        </a:xfrm>
        <a:prstGeom prst="rect">
          <a:avLst/>
        </a:prstGeom>
      </xdr:spPr>
    </xdr:pic>
    <xdr:clientData/>
  </xdr:twoCellAnchor>
  <xdr:twoCellAnchor editAs="oneCell">
    <xdr:from>
      <xdr:col>12</xdr:col>
      <xdr:colOff>289560</xdr:colOff>
      <xdr:row>272</xdr:row>
      <xdr:rowOff>38100</xdr:rowOff>
    </xdr:from>
    <xdr:to>
      <xdr:col>18</xdr:col>
      <xdr:colOff>596139</xdr:colOff>
      <xdr:row>288</xdr:row>
      <xdr:rowOff>17619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2128098-F7FD-4633-AD46-554F1BE77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096500" y="48326040"/>
          <a:ext cx="4329939" cy="2844639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257</xdr:row>
      <xdr:rowOff>0</xdr:rowOff>
    </xdr:from>
    <xdr:to>
      <xdr:col>15</xdr:col>
      <xdr:colOff>373357</xdr:colOff>
      <xdr:row>261</xdr:row>
      <xdr:rowOff>32365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3C91A18-2AB9-49B1-8D83-166CE5820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65820" y="45567600"/>
          <a:ext cx="3726157" cy="733405"/>
        </a:xfrm>
        <a:prstGeom prst="rect">
          <a:avLst/>
        </a:prstGeom>
      </xdr:spPr>
    </xdr:pic>
    <xdr:clientData/>
  </xdr:twoCellAnchor>
  <xdr:twoCellAnchor editAs="oneCell">
    <xdr:from>
      <xdr:col>10</xdr:col>
      <xdr:colOff>480060</xdr:colOff>
      <xdr:row>261</xdr:row>
      <xdr:rowOff>38100</xdr:rowOff>
    </xdr:from>
    <xdr:to>
      <xdr:col>15</xdr:col>
      <xdr:colOff>525487</xdr:colOff>
      <xdr:row>265</xdr:row>
      <xdr:rowOff>98114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5748BA5-07EF-4691-9150-DD3F7F8E5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45880" y="46306740"/>
          <a:ext cx="3398227" cy="791534"/>
        </a:xfrm>
        <a:prstGeom prst="rect">
          <a:avLst/>
        </a:prstGeom>
      </xdr:spPr>
    </xdr:pic>
    <xdr:clientData/>
  </xdr:twoCellAnchor>
  <xdr:twoCellAnchor>
    <xdr:from>
      <xdr:col>10</xdr:col>
      <xdr:colOff>624840</xdr:colOff>
      <xdr:row>13</xdr:row>
      <xdr:rowOff>53340</xdr:rowOff>
    </xdr:from>
    <xdr:to>
      <xdr:col>11</xdr:col>
      <xdr:colOff>205740</xdr:colOff>
      <xdr:row>20</xdr:row>
      <xdr:rowOff>106680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21CBD53-A5C2-681A-0D02-EF875558D5FB}"/>
            </a:ext>
          </a:extLst>
        </xdr:cNvPr>
        <xdr:cNvSpPr/>
      </xdr:nvSpPr>
      <xdr:spPr>
        <a:xfrm>
          <a:off x="9090660" y="2453640"/>
          <a:ext cx="251460" cy="13106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609600</xdr:colOff>
      <xdr:row>20</xdr:row>
      <xdr:rowOff>91440</xdr:rowOff>
    </xdr:from>
    <xdr:to>
      <xdr:col>13</xdr:col>
      <xdr:colOff>121920</xdr:colOff>
      <xdr:row>23</xdr:row>
      <xdr:rowOff>137160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580B085-4784-FE02-1B6A-4EF6B7764F43}"/>
            </a:ext>
          </a:extLst>
        </xdr:cNvPr>
        <xdr:cNvSpPr/>
      </xdr:nvSpPr>
      <xdr:spPr>
        <a:xfrm>
          <a:off x="9075420" y="3749040"/>
          <a:ext cx="1524000" cy="5715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274320</xdr:colOff>
      <xdr:row>23</xdr:row>
      <xdr:rowOff>144780</xdr:rowOff>
    </xdr:from>
    <xdr:to>
      <xdr:col>12</xdr:col>
      <xdr:colOff>609600</xdr:colOff>
      <xdr:row>34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AFFE6DFE-F84E-1FDC-3D24-242802F5C112}"/>
            </a:ext>
          </a:extLst>
        </xdr:cNvPr>
        <xdr:cNvSpPr/>
      </xdr:nvSpPr>
      <xdr:spPr>
        <a:xfrm>
          <a:off x="9410700" y="4328160"/>
          <a:ext cx="1005840" cy="17830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632460</xdr:colOff>
      <xdr:row>19</xdr:row>
      <xdr:rowOff>22860</xdr:rowOff>
    </xdr:from>
    <xdr:to>
      <xdr:col>12</xdr:col>
      <xdr:colOff>198120</xdr:colOff>
      <xdr:row>20</xdr:row>
      <xdr:rowOff>76200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61D47DC-92A6-EDB4-91C9-D4FC49299313}"/>
            </a:ext>
          </a:extLst>
        </xdr:cNvPr>
        <xdr:cNvSpPr/>
      </xdr:nvSpPr>
      <xdr:spPr>
        <a:xfrm flipV="1">
          <a:off x="9768840" y="3505200"/>
          <a:ext cx="236220" cy="228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236220</xdr:colOff>
      <xdr:row>35</xdr:row>
      <xdr:rowOff>45720</xdr:rowOff>
    </xdr:from>
    <xdr:to>
      <xdr:col>12</xdr:col>
      <xdr:colOff>617220</xdr:colOff>
      <xdr:row>35</xdr:row>
      <xdr:rowOff>45720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282302F7-1B8F-7667-6344-69E2DEF932ED}"/>
            </a:ext>
          </a:extLst>
        </xdr:cNvPr>
        <xdr:cNvCxnSpPr/>
      </xdr:nvCxnSpPr>
      <xdr:spPr>
        <a:xfrm>
          <a:off x="9372600" y="6332220"/>
          <a:ext cx="1051560" cy="0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205740</xdr:colOff>
      <xdr:row>18</xdr:row>
      <xdr:rowOff>68580</xdr:rowOff>
    </xdr:from>
    <xdr:to>
      <xdr:col>12</xdr:col>
      <xdr:colOff>60960</xdr:colOff>
      <xdr:row>18</xdr:row>
      <xdr:rowOff>76200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F393BC69-4EFD-40BC-9689-2FC669928EEC}"/>
            </a:ext>
          </a:extLst>
        </xdr:cNvPr>
        <xdr:cNvCxnSpPr/>
      </xdr:nvCxnSpPr>
      <xdr:spPr>
        <a:xfrm>
          <a:off x="9342120" y="3375660"/>
          <a:ext cx="525780" cy="7620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</xdr:colOff>
      <xdr:row>18</xdr:row>
      <xdr:rowOff>76200</xdr:rowOff>
    </xdr:from>
    <xdr:to>
      <xdr:col>13</xdr:col>
      <xdr:colOff>99060</xdr:colOff>
      <xdr:row>18</xdr:row>
      <xdr:rowOff>76200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2888592-D119-484B-87A7-6A8129345C83}"/>
            </a:ext>
          </a:extLst>
        </xdr:cNvPr>
        <xdr:cNvCxnSpPr/>
      </xdr:nvCxnSpPr>
      <xdr:spPr>
        <a:xfrm>
          <a:off x="9883140" y="3383280"/>
          <a:ext cx="693420" cy="0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541020</xdr:colOff>
      <xdr:row>24</xdr:row>
      <xdr:rowOff>129540</xdr:rowOff>
    </xdr:from>
    <xdr:to>
      <xdr:col>11</xdr:col>
      <xdr:colOff>266700</xdr:colOff>
      <xdr:row>24</xdr:row>
      <xdr:rowOff>137160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8F596146-A6BE-4D00-B39F-69EA0E294F2D}"/>
            </a:ext>
          </a:extLst>
        </xdr:cNvPr>
        <xdr:cNvCxnSpPr/>
      </xdr:nvCxnSpPr>
      <xdr:spPr>
        <a:xfrm>
          <a:off x="9006840" y="4488180"/>
          <a:ext cx="396240" cy="7620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609600</xdr:colOff>
      <xdr:row>24</xdr:row>
      <xdr:rowOff>129540</xdr:rowOff>
    </xdr:from>
    <xdr:to>
      <xdr:col>13</xdr:col>
      <xdr:colOff>190500</xdr:colOff>
      <xdr:row>24</xdr:row>
      <xdr:rowOff>129540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63191C7-505F-4B8E-BAA7-1D0C57CB8AC3}"/>
            </a:ext>
          </a:extLst>
        </xdr:cNvPr>
        <xdr:cNvCxnSpPr/>
      </xdr:nvCxnSpPr>
      <xdr:spPr>
        <a:xfrm>
          <a:off x="10416540" y="4488180"/>
          <a:ext cx="251460" cy="0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533400</xdr:colOff>
      <xdr:row>12</xdr:row>
      <xdr:rowOff>160020</xdr:rowOff>
    </xdr:from>
    <xdr:to>
      <xdr:col>11</xdr:col>
      <xdr:colOff>259080</xdr:colOff>
      <xdr:row>12</xdr:row>
      <xdr:rowOff>167640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34FE1D84-C9A8-42F3-B114-B5C7BB55C2F6}"/>
            </a:ext>
          </a:extLst>
        </xdr:cNvPr>
        <xdr:cNvCxnSpPr/>
      </xdr:nvCxnSpPr>
      <xdr:spPr>
        <a:xfrm>
          <a:off x="8999220" y="2354580"/>
          <a:ext cx="396240" cy="7620"/>
        </a:xfrm>
        <a:prstGeom prst="straightConnector1">
          <a:avLst/>
        </a:prstGeom>
        <a:ln w="1905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579120</xdr:colOff>
      <xdr:row>226</xdr:row>
      <xdr:rowOff>76200</xdr:rowOff>
    </xdr:from>
    <xdr:to>
      <xdr:col>5</xdr:col>
      <xdr:colOff>396240</xdr:colOff>
      <xdr:row>229</xdr:row>
      <xdr:rowOff>22860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2769F2E5-2C93-CD22-2EDE-CC6297FED350}"/>
            </a:ext>
          </a:extLst>
        </xdr:cNvPr>
        <xdr:cNvSpPr/>
      </xdr:nvSpPr>
      <xdr:spPr>
        <a:xfrm>
          <a:off x="3307080" y="40302180"/>
          <a:ext cx="487680" cy="472440"/>
        </a:xfrm>
        <a:prstGeom prst="flowChartConnector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53340</xdr:colOff>
      <xdr:row>226</xdr:row>
      <xdr:rowOff>68580</xdr:rowOff>
    </xdr:from>
    <xdr:to>
      <xdr:col>7</xdr:col>
      <xdr:colOff>541020</xdr:colOff>
      <xdr:row>229</xdr:row>
      <xdr:rowOff>22860</xdr:rowOff>
    </xdr:to>
    <xdr:sp macro="" textlink="">
      <xdr:nvSpPr>
        <xdr:cNvPr id="3" name="Flowchart: Connector 2">
          <a:extLst>
            <a:ext uri="{FF2B5EF4-FFF2-40B4-BE49-F238E27FC236}">
              <a16:creationId xmlns:a16="http://schemas.microsoft.com/office/drawing/2014/main" id="{C87E2A7F-81A7-460A-B927-8F6F4071415E}"/>
            </a:ext>
          </a:extLst>
        </xdr:cNvPr>
        <xdr:cNvSpPr/>
      </xdr:nvSpPr>
      <xdr:spPr>
        <a:xfrm>
          <a:off x="4792980" y="40294560"/>
          <a:ext cx="487680" cy="48006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76200</xdr:colOff>
      <xdr:row>226</xdr:row>
      <xdr:rowOff>76200</xdr:rowOff>
    </xdr:from>
    <xdr:to>
      <xdr:col>9</xdr:col>
      <xdr:colOff>563880</xdr:colOff>
      <xdr:row>229</xdr:row>
      <xdr:rowOff>30480</xdr:rowOff>
    </xdr:to>
    <xdr:sp macro="" textlink="">
      <xdr:nvSpPr>
        <xdr:cNvPr id="4" name="Flowchart: Connector 3">
          <a:extLst>
            <a:ext uri="{FF2B5EF4-FFF2-40B4-BE49-F238E27FC236}">
              <a16:creationId xmlns:a16="http://schemas.microsoft.com/office/drawing/2014/main" id="{BAB24D0B-03D8-445E-99C2-1A0C4D006DAA}"/>
            </a:ext>
          </a:extLst>
        </xdr:cNvPr>
        <xdr:cNvSpPr/>
      </xdr:nvSpPr>
      <xdr:spPr>
        <a:xfrm>
          <a:off x="6156960" y="40302180"/>
          <a:ext cx="487680" cy="48006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563880</xdr:colOff>
      <xdr:row>232</xdr:row>
      <xdr:rowOff>167640</xdr:rowOff>
    </xdr:from>
    <xdr:to>
      <xdr:col>5</xdr:col>
      <xdr:colOff>381000</xdr:colOff>
      <xdr:row>235</xdr:row>
      <xdr:rowOff>114300</xdr:rowOff>
    </xdr:to>
    <xdr:sp macro="" textlink="">
      <xdr:nvSpPr>
        <xdr:cNvPr id="5" name="Flowchart: Connector 4">
          <a:extLst>
            <a:ext uri="{FF2B5EF4-FFF2-40B4-BE49-F238E27FC236}">
              <a16:creationId xmlns:a16="http://schemas.microsoft.com/office/drawing/2014/main" id="{4FDF6266-2137-41B7-8DAA-5C3A7258B99F}"/>
            </a:ext>
          </a:extLst>
        </xdr:cNvPr>
        <xdr:cNvSpPr/>
      </xdr:nvSpPr>
      <xdr:spPr>
        <a:xfrm>
          <a:off x="3291840" y="41445180"/>
          <a:ext cx="487680" cy="47244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45720</xdr:colOff>
      <xdr:row>232</xdr:row>
      <xdr:rowOff>160020</xdr:rowOff>
    </xdr:from>
    <xdr:to>
      <xdr:col>7</xdr:col>
      <xdr:colOff>533400</xdr:colOff>
      <xdr:row>235</xdr:row>
      <xdr:rowOff>106680</xdr:rowOff>
    </xdr:to>
    <xdr:sp macro="" textlink="">
      <xdr:nvSpPr>
        <xdr:cNvPr id="6" name="Flowchart: Connector 5">
          <a:extLst>
            <a:ext uri="{FF2B5EF4-FFF2-40B4-BE49-F238E27FC236}">
              <a16:creationId xmlns:a16="http://schemas.microsoft.com/office/drawing/2014/main" id="{DF315988-40CD-4364-9C13-A91778879429}"/>
            </a:ext>
          </a:extLst>
        </xdr:cNvPr>
        <xdr:cNvSpPr/>
      </xdr:nvSpPr>
      <xdr:spPr>
        <a:xfrm>
          <a:off x="4785360" y="41437560"/>
          <a:ext cx="487680" cy="47244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</xdr:colOff>
      <xdr:row>232</xdr:row>
      <xdr:rowOff>144780</xdr:rowOff>
    </xdr:from>
    <xdr:to>
      <xdr:col>9</xdr:col>
      <xdr:colOff>541020</xdr:colOff>
      <xdr:row>235</xdr:row>
      <xdr:rowOff>91440</xdr:rowOff>
    </xdr:to>
    <xdr:sp macro="" textlink="">
      <xdr:nvSpPr>
        <xdr:cNvPr id="7" name="Flowchart: Connector 6">
          <a:extLst>
            <a:ext uri="{FF2B5EF4-FFF2-40B4-BE49-F238E27FC236}">
              <a16:creationId xmlns:a16="http://schemas.microsoft.com/office/drawing/2014/main" id="{8CF7529E-419F-408D-BFAF-3EE846C43375}"/>
            </a:ext>
          </a:extLst>
        </xdr:cNvPr>
        <xdr:cNvSpPr/>
      </xdr:nvSpPr>
      <xdr:spPr>
        <a:xfrm>
          <a:off x="6134100" y="41422320"/>
          <a:ext cx="487680" cy="47244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548640</xdr:colOff>
      <xdr:row>239</xdr:row>
      <xdr:rowOff>53340</xdr:rowOff>
    </xdr:from>
    <xdr:to>
      <xdr:col>5</xdr:col>
      <xdr:colOff>365760</xdr:colOff>
      <xdr:row>242</xdr:row>
      <xdr:rowOff>0</xdr:rowOff>
    </xdr:to>
    <xdr:sp macro="" textlink="">
      <xdr:nvSpPr>
        <xdr:cNvPr id="8" name="Flowchart: Connector 7">
          <a:extLst>
            <a:ext uri="{FF2B5EF4-FFF2-40B4-BE49-F238E27FC236}">
              <a16:creationId xmlns:a16="http://schemas.microsoft.com/office/drawing/2014/main" id="{222E05FF-B8B7-4E8D-98CA-EDFB70ECE527}"/>
            </a:ext>
          </a:extLst>
        </xdr:cNvPr>
        <xdr:cNvSpPr/>
      </xdr:nvSpPr>
      <xdr:spPr>
        <a:xfrm>
          <a:off x="3276600" y="42557700"/>
          <a:ext cx="487680" cy="47244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45720</xdr:colOff>
      <xdr:row>239</xdr:row>
      <xdr:rowOff>53340</xdr:rowOff>
    </xdr:from>
    <xdr:to>
      <xdr:col>7</xdr:col>
      <xdr:colOff>533400</xdr:colOff>
      <xdr:row>242</xdr:row>
      <xdr:rowOff>0</xdr:rowOff>
    </xdr:to>
    <xdr:sp macro="" textlink="">
      <xdr:nvSpPr>
        <xdr:cNvPr id="9" name="Flowchart: Connector 8">
          <a:extLst>
            <a:ext uri="{FF2B5EF4-FFF2-40B4-BE49-F238E27FC236}">
              <a16:creationId xmlns:a16="http://schemas.microsoft.com/office/drawing/2014/main" id="{DF68EBEC-3B79-4EBF-BEDA-ACB5A46F2EAD}"/>
            </a:ext>
          </a:extLst>
        </xdr:cNvPr>
        <xdr:cNvSpPr/>
      </xdr:nvSpPr>
      <xdr:spPr>
        <a:xfrm>
          <a:off x="4785360" y="42557700"/>
          <a:ext cx="487680" cy="47244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60960</xdr:colOff>
      <xdr:row>239</xdr:row>
      <xdr:rowOff>53340</xdr:rowOff>
    </xdr:from>
    <xdr:to>
      <xdr:col>9</xdr:col>
      <xdr:colOff>548640</xdr:colOff>
      <xdr:row>242</xdr:row>
      <xdr:rowOff>0</xdr:rowOff>
    </xdr:to>
    <xdr:sp macro="" textlink="">
      <xdr:nvSpPr>
        <xdr:cNvPr id="10" name="Flowchart: Connector 9">
          <a:extLst>
            <a:ext uri="{FF2B5EF4-FFF2-40B4-BE49-F238E27FC236}">
              <a16:creationId xmlns:a16="http://schemas.microsoft.com/office/drawing/2014/main" id="{3A19E40C-4764-4426-BB0B-E78D45403186}"/>
            </a:ext>
          </a:extLst>
        </xdr:cNvPr>
        <xdr:cNvSpPr/>
      </xdr:nvSpPr>
      <xdr:spPr>
        <a:xfrm>
          <a:off x="6141720" y="42557700"/>
          <a:ext cx="487680" cy="47244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</xdr:colOff>
      <xdr:row>240</xdr:row>
      <xdr:rowOff>114300</xdr:rowOff>
    </xdr:from>
    <xdr:to>
      <xdr:col>10</xdr:col>
      <xdr:colOff>251460</xdr:colOff>
      <xdr:row>240</xdr:row>
      <xdr:rowOff>121920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29DCFE15-7AA4-6237-C208-B64E912DCB3D}"/>
            </a:ext>
          </a:extLst>
        </xdr:cNvPr>
        <xdr:cNvCxnSpPr/>
      </xdr:nvCxnSpPr>
      <xdr:spPr>
        <a:xfrm flipH="1" flipV="1">
          <a:off x="2750820" y="42793920"/>
          <a:ext cx="4251960" cy="762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243840</xdr:colOff>
      <xdr:row>234</xdr:row>
      <xdr:rowOff>15240</xdr:rowOff>
    </xdr:from>
    <xdr:to>
      <xdr:col>12</xdr:col>
      <xdr:colOff>335280</xdr:colOff>
      <xdr:row>234</xdr:row>
      <xdr:rowOff>30480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E0E4BF48-52B6-4E56-9F21-0048A9D1578E}"/>
            </a:ext>
          </a:extLst>
        </xdr:cNvPr>
        <xdr:cNvCxnSpPr/>
      </xdr:nvCxnSpPr>
      <xdr:spPr>
        <a:xfrm flipH="1">
          <a:off x="1584960" y="41643300"/>
          <a:ext cx="6842760" cy="1524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</xdr:colOff>
      <xdr:row>227</xdr:row>
      <xdr:rowOff>121920</xdr:rowOff>
    </xdr:from>
    <xdr:to>
      <xdr:col>10</xdr:col>
      <xdr:colOff>213360</xdr:colOff>
      <xdr:row>227</xdr:row>
      <xdr:rowOff>137160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3E77CA38-3922-4709-853A-6BF5D0C30416}"/>
            </a:ext>
          </a:extLst>
        </xdr:cNvPr>
        <xdr:cNvCxnSpPr/>
      </xdr:nvCxnSpPr>
      <xdr:spPr>
        <a:xfrm flipH="1">
          <a:off x="2743200" y="40523160"/>
          <a:ext cx="4221480" cy="1524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224</xdr:row>
      <xdr:rowOff>0</xdr:rowOff>
    </xdr:from>
    <xdr:to>
      <xdr:col>10</xdr:col>
      <xdr:colOff>220980</xdr:colOff>
      <xdr:row>224</xdr:row>
      <xdr:rowOff>15240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7C53593-F18C-4B16-AF8E-3FD831290FD4}"/>
            </a:ext>
          </a:extLst>
        </xdr:cNvPr>
        <xdr:cNvCxnSpPr/>
      </xdr:nvCxnSpPr>
      <xdr:spPr>
        <a:xfrm flipH="1" flipV="1">
          <a:off x="2727960" y="39875460"/>
          <a:ext cx="4244340" cy="1524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708660</xdr:colOff>
      <xdr:row>223</xdr:row>
      <xdr:rowOff>160020</xdr:rowOff>
    </xdr:from>
    <xdr:to>
      <xdr:col>4</xdr:col>
      <xdr:colOff>7620</xdr:colOff>
      <xdr:row>244</xdr:row>
      <xdr:rowOff>76200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59E6E3C7-71B4-4064-AD32-963C3827500F}"/>
            </a:ext>
          </a:extLst>
        </xdr:cNvPr>
        <xdr:cNvCxnSpPr/>
      </xdr:nvCxnSpPr>
      <xdr:spPr>
        <a:xfrm flipH="1" flipV="1">
          <a:off x="2720340" y="39860220"/>
          <a:ext cx="15240" cy="359664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228600</xdr:colOff>
      <xdr:row>224</xdr:row>
      <xdr:rowOff>7620</xdr:rowOff>
    </xdr:from>
    <xdr:to>
      <xdr:col>10</xdr:col>
      <xdr:colOff>251460</xdr:colOff>
      <xdr:row>244</xdr:row>
      <xdr:rowOff>60960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F72B5271-1E28-42BD-B812-FBE2E4E79BE0}"/>
            </a:ext>
          </a:extLst>
        </xdr:cNvPr>
        <xdr:cNvCxnSpPr/>
      </xdr:nvCxnSpPr>
      <xdr:spPr>
        <a:xfrm flipH="1" flipV="1">
          <a:off x="6979920" y="39883080"/>
          <a:ext cx="22860" cy="355854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708660</xdr:colOff>
      <xdr:row>244</xdr:row>
      <xdr:rowOff>60960</xdr:rowOff>
    </xdr:from>
    <xdr:to>
      <xdr:col>10</xdr:col>
      <xdr:colOff>259080</xdr:colOff>
      <xdr:row>244</xdr:row>
      <xdr:rowOff>76200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E2DFA737-16D7-4A84-B766-E96105D59B3A}"/>
            </a:ext>
          </a:extLst>
        </xdr:cNvPr>
        <xdr:cNvCxnSpPr/>
      </xdr:nvCxnSpPr>
      <xdr:spPr>
        <a:xfrm flipV="1">
          <a:off x="2720340" y="43441620"/>
          <a:ext cx="4290060" cy="15240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224</xdr:row>
      <xdr:rowOff>7620</xdr:rowOff>
    </xdr:from>
    <xdr:to>
      <xdr:col>5</xdr:col>
      <xdr:colOff>160020</xdr:colOff>
      <xdr:row>244</xdr:row>
      <xdr:rowOff>91440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BFE766EF-02E2-4382-8ACE-DF0DB7D702F0}"/>
            </a:ext>
          </a:extLst>
        </xdr:cNvPr>
        <xdr:cNvCxnSpPr/>
      </xdr:nvCxnSpPr>
      <xdr:spPr>
        <a:xfrm flipV="1">
          <a:off x="3550920" y="39883080"/>
          <a:ext cx="7620" cy="358902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220</xdr:row>
      <xdr:rowOff>152400</xdr:rowOff>
    </xdr:from>
    <xdr:to>
      <xdr:col>7</xdr:col>
      <xdr:colOff>304800</xdr:colOff>
      <xdr:row>246</xdr:row>
      <xdr:rowOff>106680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C14F2084-CCAE-4AE9-85C8-4AD30AF3FC90}"/>
            </a:ext>
          </a:extLst>
        </xdr:cNvPr>
        <xdr:cNvCxnSpPr/>
      </xdr:nvCxnSpPr>
      <xdr:spPr>
        <a:xfrm flipV="1">
          <a:off x="5044440" y="39326820"/>
          <a:ext cx="0" cy="451104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297180</xdr:colOff>
      <xdr:row>223</xdr:row>
      <xdr:rowOff>167640</xdr:rowOff>
    </xdr:from>
    <xdr:to>
      <xdr:col>9</xdr:col>
      <xdr:colOff>304800</xdr:colOff>
      <xdr:row>244</xdr:row>
      <xdr:rowOff>76200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425CFC58-D574-4B78-951C-116370EF2999}"/>
            </a:ext>
          </a:extLst>
        </xdr:cNvPr>
        <xdr:cNvCxnSpPr/>
      </xdr:nvCxnSpPr>
      <xdr:spPr>
        <a:xfrm flipV="1">
          <a:off x="6377940" y="39867840"/>
          <a:ext cx="7620" cy="358902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224</xdr:row>
      <xdr:rowOff>30480</xdr:rowOff>
    </xdr:from>
    <xdr:to>
      <xdr:col>3</xdr:col>
      <xdr:colOff>472440</xdr:colOff>
      <xdr:row>244</xdr:row>
      <xdr:rowOff>76200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9581F0A4-3DA8-6DC6-B51D-D8C1E75161BB}"/>
            </a:ext>
          </a:extLst>
        </xdr:cNvPr>
        <xdr:cNvCxnSpPr/>
      </xdr:nvCxnSpPr>
      <xdr:spPr>
        <a:xfrm>
          <a:off x="2461260" y="39905940"/>
          <a:ext cx="22860" cy="355092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685800</xdr:colOff>
      <xdr:row>247</xdr:row>
      <xdr:rowOff>91440</xdr:rowOff>
    </xdr:from>
    <xdr:to>
      <xdr:col>10</xdr:col>
      <xdr:colOff>289560</xdr:colOff>
      <xdr:row>247</xdr:row>
      <xdr:rowOff>99060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FC658026-4756-4893-87B6-0258C6573C7E}"/>
            </a:ext>
          </a:extLst>
        </xdr:cNvPr>
        <xdr:cNvCxnSpPr/>
      </xdr:nvCxnSpPr>
      <xdr:spPr>
        <a:xfrm flipH="1" flipV="1">
          <a:off x="2697480" y="43997880"/>
          <a:ext cx="4343400" cy="762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411480</xdr:colOff>
      <xdr:row>240</xdr:row>
      <xdr:rowOff>106680</xdr:rowOff>
    </xdr:from>
    <xdr:to>
      <xdr:col>10</xdr:col>
      <xdr:colOff>419100</xdr:colOff>
      <xdr:row>244</xdr:row>
      <xdr:rowOff>91440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63156EC7-EBEA-4486-B80E-17F8DBD8C5D3}"/>
            </a:ext>
          </a:extLst>
        </xdr:cNvPr>
        <xdr:cNvCxnSpPr/>
      </xdr:nvCxnSpPr>
      <xdr:spPr>
        <a:xfrm flipH="1" flipV="1">
          <a:off x="7162800" y="42786300"/>
          <a:ext cx="7620" cy="68580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403860</xdr:colOff>
      <xdr:row>233</xdr:row>
      <xdr:rowOff>144780</xdr:rowOff>
    </xdr:from>
    <xdr:to>
      <xdr:col>10</xdr:col>
      <xdr:colOff>419100</xdr:colOff>
      <xdr:row>240</xdr:row>
      <xdr:rowOff>137160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997C7828-52E6-49C8-BB95-23C2403E5F1E}"/>
            </a:ext>
          </a:extLst>
        </xdr:cNvPr>
        <xdr:cNvCxnSpPr/>
      </xdr:nvCxnSpPr>
      <xdr:spPr>
        <a:xfrm flipH="1" flipV="1">
          <a:off x="7155180" y="41597580"/>
          <a:ext cx="15240" cy="121920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388620</xdr:colOff>
      <xdr:row>227</xdr:row>
      <xdr:rowOff>76200</xdr:rowOff>
    </xdr:from>
    <xdr:to>
      <xdr:col>10</xdr:col>
      <xdr:colOff>403860</xdr:colOff>
      <xdr:row>234</xdr:row>
      <xdr:rowOff>0</xdr:rowOff>
    </xdr:to>
    <xdr:cxnSp macro="">
      <xdr:nvCxnSpPr>
        <xdr:cNvPr id="61" name="Straight Arrow Connector 60">
          <a:extLst>
            <a:ext uri="{FF2B5EF4-FFF2-40B4-BE49-F238E27FC236}">
              <a16:creationId xmlns:a16="http://schemas.microsoft.com/office/drawing/2014/main" id="{C1F39E3B-3018-4D93-A5E8-730FEFB4DC96}"/>
            </a:ext>
          </a:extLst>
        </xdr:cNvPr>
        <xdr:cNvCxnSpPr/>
      </xdr:nvCxnSpPr>
      <xdr:spPr>
        <a:xfrm flipH="1" flipV="1">
          <a:off x="7139940" y="40477440"/>
          <a:ext cx="15240" cy="115062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381000</xdr:colOff>
      <xdr:row>223</xdr:row>
      <xdr:rowOff>152400</xdr:rowOff>
    </xdr:from>
    <xdr:to>
      <xdr:col>10</xdr:col>
      <xdr:colOff>388620</xdr:colOff>
      <xdr:row>227</xdr:row>
      <xdr:rowOff>137160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D925AF32-6133-4417-970D-FD0E93648E5D}"/>
            </a:ext>
          </a:extLst>
        </xdr:cNvPr>
        <xdr:cNvCxnSpPr/>
      </xdr:nvCxnSpPr>
      <xdr:spPr>
        <a:xfrm flipH="1" flipV="1">
          <a:off x="7132320" y="39852600"/>
          <a:ext cx="7620" cy="68580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708660</xdr:colOff>
      <xdr:row>223</xdr:row>
      <xdr:rowOff>22860</xdr:rowOff>
    </xdr:from>
    <xdr:to>
      <xdr:col>5</xdr:col>
      <xdr:colOff>152400</xdr:colOff>
      <xdr:row>223</xdr:row>
      <xdr:rowOff>30480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A0C37E04-FB98-4ADF-A712-A4CCFB28886A}"/>
            </a:ext>
          </a:extLst>
        </xdr:cNvPr>
        <xdr:cNvCxnSpPr/>
      </xdr:nvCxnSpPr>
      <xdr:spPr>
        <a:xfrm>
          <a:off x="2720340" y="39723060"/>
          <a:ext cx="830580" cy="762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167640</xdr:colOff>
      <xdr:row>223</xdr:row>
      <xdr:rowOff>30480</xdr:rowOff>
    </xdr:from>
    <xdr:to>
      <xdr:col>7</xdr:col>
      <xdr:colOff>304800</xdr:colOff>
      <xdr:row>223</xdr:row>
      <xdr:rowOff>30480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4EA48C5E-AAD8-490D-B376-FD45736C22CA}"/>
            </a:ext>
          </a:extLst>
        </xdr:cNvPr>
        <xdr:cNvCxnSpPr/>
      </xdr:nvCxnSpPr>
      <xdr:spPr>
        <a:xfrm>
          <a:off x="3566160" y="39730680"/>
          <a:ext cx="1478280" cy="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289560</xdr:colOff>
      <xdr:row>223</xdr:row>
      <xdr:rowOff>45720</xdr:rowOff>
    </xdr:from>
    <xdr:to>
      <xdr:col>9</xdr:col>
      <xdr:colOff>304800</xdr:colOff>
      <xdr:row>223</xdr:row>
      <xdr:rowOff>53340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BE16878C-E3F7-4D6F-B5C1-B9BA5F65C225}"/>
            </a:ext>
          </a:extLst>
        </xdr:cNvPr>
        <xdr:cNvCxnSpPr/>
      </xdr:nvCxnSpPr>
      <xdr:spPr>
        <a:xfrm>
          <a:off x="5029200" y="39745920"/>
          <a:ext cx="1356360" cy="762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274320</xdr:colOff>
      <xdr:row>223</xdr:row>
      <xdr:rowOff>53340</xdr:rowOff>
    </xdr:from>
    <xdr:to>
      <xdr:col>10</xdr:col>
      <xdr:colOff>312420</xdr:colOff>
      <xdr:row>223</xdr:row>
      <xdr:rowOff>60960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60A658D-CAE2-45BF-83B8-F4EDF0DF51BB}"/>
            </a:ext>
          </a:extLst>
        </xdr:cNvPr>
        <xdr:cNvCxnSpPr/>
      </xdr:nvCxnSpPr>
      <xdr:spPr>
        <a:xfrm>
          <a:off x="6355080" y="39753540"/>
          <a:ext cx="708660" cy="762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624840</xdr:colOff>
      <xdr:row>212</xdr:row>
      <xdr:rowOff>15240</xdr:rowOff>
    </xdr:from>
    <xdr:to>
      <xdr:col>18</xdr:col>
      <xdr:colOff>533400</xdr:colOff>
      <xdr:row>221</xdr:row>
      <xdr:rowOff>30480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CB935BF-96DB-112C-5A34-F33E751CFE67}"/>
            </a:ext>
          </a:extLst>
        </xdr:cNvPr>
        <xdr:cNvSpPr/>
      </xdr:nvSpPr>
      <xdr:spPr>
        <a:xfrm>
          <a:off x="12070080" y="37757100"/>
          <a:ext cx="579120" cy="15925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221</xdr:row>
      <xdr:rowOff>38100</xdr:rowOff>
    </xdr:from>
    <xdr:to>
      <xdr:col>20</xdr:col>
      <xdr:colOff>457200</xdr:colOff>
      <xdr:row>223</xdr:row>
      <xdr:rowOff>53340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414413AA-F4D6-99A1-37BA-EBEE61B5B6CF}"/>
            </a:ext>
          </a:extLst>
        </xdr:cNvPr>
        <xdr:cNvSpPr/>
      </xdr:nvSpPr>
      <xdr:spPr>
        <a:xfrm>
          <a:off x="10805160" y="39357300"/>
          <a:ext cx="3108960" cy="36576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121920</xdr:colOff>
      <xdr:row>223</xdr:row>
      <xdr:rowOff>53340</xdr:rowOff>
    </xdr:from>
    <xdr:to>
      <xdr:col>16</xdr:col>
      <xdr:colOff>457200</xdr:colOff>
      <xdr:row>236</xdr:row>
      <xdr:rowOff>7620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674E5FCE-9691-F0A9-1064-5B5913AC51DC}"/>
            </a:ext>
          </a:extLst>
        </xdr:cNvPr>
        <xdr:cNvSpPr/>
      </xdr:nvSpPr>
      <xdr:spPr>
        <a:xfrm>
          <a:off x="10896600" y="39723060"/>
          <a:ext cx="335280" cy="223266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121920</xdr:colOff>
      <xdr:row>223</xdr:row>
      <xdr:rowOff>68580</xdr:rowOff>
    </xdr:from>
    <xdr:to>
      <xdr:col>18</xdr:col>
      <xdr:colOff>457200</xdr:colOff>
      <xdr:row>235</xdr:row>
      <xdr:rowOff>167640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64BFC5-8907-4107-B81A-346702A28008}"/>
            </a:ext>
          </a:extLst>
        </xdr:cNvPr>
        <xdr:cNvSpPr/>
      </xdr:nvSpPr>
      <xdr:spPr>
        <a:xfrm>
          <a:off x="12237720" y="39738300"/>
          <a:ext cx="335280" cy="220218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15240</xdr:colOff>
      <xdr:row>223</xdr:row>
      <xdr:rowOff>45720</xdr:rowOff>
    </xdr:from>
    <xdr:to>
      <xdr:col>20</xdr:col>
      <xdr:colOff>350520</xdr:colOff>
      <xdr:row>235</xdr:row>
      <xdr:rowOff>167640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7CEEAFB2-0968-4467-A1C0-0C22E15CB563}"/>
            </a:ext>
          </a:extLst>
        </xdr:cNvPr>
        <xdr:cNvSpPr/>
      </xdr:nvSpPr>
      <xdr:spPr>
        <a:xfrm>
          <a:off x="13472160" y="39715440"/>
          <a:ext cx="335280" cy="222504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251460</xdr:colOff>
      <xdr:row>228</xdr:row>
      <xdr:rowOff>76200</xdr:rowOff>
    </xdr:from>
    <xdr:to>
      <xdr:col>21</xdr:col>
      <xdr:colOff>213360</xdr:colOff>
      <xdr:row>228</xdr:row>
      <xdr:rowOff>91440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9603C048-FB71-E901-03D6-FF6F605E18D4}"/>
            </a:ext>
          </a:extLst>
        </xdr:cNvPr>
        <xdr:cNvCxnSpPr/>
      </xdr:nvCxnSpPr>
      <xdr:spPr>
        <a:xfrm>
          <a:off x="10355580" y="40622220"/>
          <a:ext cx="3985260" cy="15240"/>
        </a:xfrm>
        <a:prstGeom prst="line">
          <a:avLst/>
        </a:prstGeom>
        <a:ln w="19050"/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293</xdr:row>
      <xdr:rowOff>194310</xdr:rowOff>
    </xdr:from>
    <xdr:to>
      <xdr:col>16</xdr:col>
      <xdr:colOff>430530</xdr:colOff>
      <xdr:row>309</xdr:row>
      <xdr:rowOff>11430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5827CB9-3D3C-E06F-9F55-F3C500FCF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525781</xdr:colOff>
      <xdr:row>495</xdr:row>
      <xdr:rowOff>33271</xdr:rowOff>
    </xdr:from>
    <xdr:to>
      <xdr:col>4</xdr:col>
      <xdr:colOff>525781</xdr:colOff>
      <xdr:row>508</xdr:row>
      <xdr:rowOff>133097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3325CE4-620B-447F-898A-32D2E8C8BF2F}"/>
            </a:ext>
          </a:extLst>
        </xdr:cNvPr>
        <xdr:cNvSpPr/>
      </xdr:nvSpPr>
      <xdr:spPr>
        <a:xfrm>
          <a:off x="525781" y="87975691"/>
          <a:ext cx="2727960" cy="2378206"/>
        </a:xfrm>
        <a:prstGeom prst="rect">
          <a:avLst/>
        </a:prstGeom>
        <a:solidFill>
          <a:schemeClr val="accent1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150356</xdr:colOff>
      <xdr:row>495</xdr:row>
      <xdr:rowOff>46419</xdr:rowOff>
    </xdr:from>
    <xdr:to>
      <xdr:col>3</xdr:col>
      <xdr:colOff>15240</xdr:colOff>
      <xdr:row>508</xdr:row>
      <xdr:rowOff>94647</xdr:rowOff>
    </xdr:to>
    <xdr:sp macro="" textlink="">
      <xdr:nvSpPr>
        <xdr:cNvPr id="23" name="Rounded Rectangle 5">
          <a:extLst>
            <a:ext uri="{FF2B5EF4-FFF2-40B4-BE49-F238E27FC236}">
              <a16:creationId xmlns:a16="http://schemas.microsoft.com/office/drawing/2014/main" id="{A3E1F288-2E90-406C-915B-24C640DF34E6}"/>
            </a:ext>
          </a:extLst>
        </xdr:cNvPr>
        <xdr:cNvSpPr/>
      </xdr:nvSpPr>
      <xdr:spPr>
        <a:xfrm rot="5400000">
          <a:off x="595894" y="88884421"/>
          <a:ext cx="2326608" cy="53544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230070</xdr:colOff>
      <xdr:row>505</xdr:row>
      <xdr:rowOff>86803</xdr:rowOff>
    </xdr:from>
    <xdr:to>
      <xdr:col>7</xdr:col>
      <xdr:colOff>524891</xdr:colOff>
      <xdr:row>508</xdr:row>
      <xdr:rowOff>45512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3B651F94-A9B2-444C-8D80-41524AA5FF8E}"/>
            </a:ext>
          </a:extLst>
        </xdr:cNvPr>
        <xdr:cNvSpPr/>
      </xdr:nvSpPr>
      <xdr:spPr>
        <a:xfrm>
          <a:off x="3179010" y="35496943"/>
          <a:ext cx="1696901" cy="4844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49F9D-51E4-4C2E-9A61-0CEA4F39E13C}">
  <sheetPr codeName="Sheet1"/>
  <dimension ref="A1:P384"/>
  <sheetViews>
    <sheetView topLeftCell="A4" workbookViewId="0">
      <selection activeCell="F201" sqref="F201"/>
    </sheetView>
  </sheetViews>
  <sheetFormatPr defaultRowHeight="13.8" x14ac:dyDescent="0.25"/>
  <cols>
    <col min="3" max="3" width="12.296875" customWidth="1"/>
    <col min="4" max="4" width="16" customWidth="1"/>
    <col min="5" max="5" width="14.8984375" customWidth="1"/>
    <col min="6" max="6" width="13" customWidth="1"/>
    <col min="7" max="7" width="13.3984375" customWidth="1"/>
    <col min="8" max="8" width="12.8984375" customWidth="1"/>
    <col min="10" max="10" width="11.59765625" customWidth="1"/>
  </cols>
  <sheetData>
    <row r="1" spans="1:12" x14ac:dyDescent="0.25">
      <c r="A1" s="231" t="s">
        <v>0</v>
      </c>
      <c r="B1" s="231"/>
      <c r="C1" s="231"/>
      <c r="D1" s="6"/>
      <c r="E1" s="6"/>
      <c r="F1" s="6"/>
      <c r="G1" s="6"/>
      <c r="H1" s="6"/>
      <c r="I1" s="6"/>
      <c r="J1" s="4"/>
      <c r="K1" s="4"/>
      <c r="L1" s="4"/>
    </row>
    <row r="2" spans="1:12" x14ac:dyDescent="0.25">
      <c r="A2" s="6"/>
      <c r="B2" s="6"/>
      <c r="C2" s="7" t="s">
        <v>1</v>
      </c>
      <c r="D2" s="8" t="s">
        <v>2</v>
      </c>
      <c r="E2" s="6"/>
      <c r="F2" s="234" t="s">
        <v>3</v>
      </c>
      <c r="G2" s="234"/>
      <c r="H2" s="6"/>
      <c r="I2" s="6"/>
      <c r="J2" s="4"/>
      <c r="K2" s="4"/>
      <c r="L2" s="4"/>
    </row>
    <row r="3" spans="1:12" x14ac:dyDescent="0.25">
      <c r="A3" s="6"/>
      <c r="B3" s="6"/>
      <c r="C3" s="8" t="s">
        <v>4</v>
      </c>
      <c r="D3" s="9">
        <f>2082.072/2</f>
        <v>1041.0360000000001</v>
      </c>
      <c r="E3" s="6" t="s">
        <v>81</v>
      </c>
      <c r="F3" s="8" t="s">
        <v>5</v>
      </c>
      <c r="G3" s="10">
        <f>1204.986/1.5</f>
        <v>803.32400000000007</v>
      </c>
      <c r="H3" s="6" t="s">
        <v>81</v>
      </c>
      <c r="I3" s="6"/>
      <c r="J3" s="4"/>
      <c r="K3" s="4"/>
      <c r="L3" s="4"/>
    </row>
    <row r="4" spans="1:12" x14ac:dyDescent="0.25">
      <c r="A4" s="6"/>
      <c r="B4" s="6"/>
      <c r="C4" s="8" t="s">
        <v>6</v>
      </c>
      <c r="D4" s="209">
        <f>1256.667/2</f>
        <v>628.33349999999996</v>
      </c>
      <c r="E4" s="11" t="s">
        <v>81</v>
      </c>
      <c r="F4" s="8" t="s">
        <v>61</v>
      </c>
      <c r="G4" s="12">
        <f>711.873/1.5</f>
        <v>474.58200000000005</v>
      </c>
      <c r="H4" s="6" t="s">
        <v>81</v>
      </c>
      <c r="I4" s="4"/>
      <c r="J4" s="4"/>
      <c r="K4" s="4"/>
      <c r="L4" s="4"/>
    </row>
    <row r="5" spans="1:12" x14ac:dyDescent="0.25">
      <c r="A5" s="6"/>
      <c r="B5" s="6"/>
      <c r="C5" s="8" t="s">
        <v>7</v>
      </c>
      <c r="D5" s="9">
        <f>49.77/2</f>
        <v>24.885000000000002</v>
      </c>
      <c r="E5" s="13" t="s">
        <v>81</v>
      </c>
      <c r="F5" s="8" t="s">
        <v>8</v>
      </c>
      <c r="G5" s="108">
        <f>536.347/1.5</f>
        <v>357.56466666666665</v>
      </c>
      <c r="H5" s="6" t="s">
        <v>81</v>
      </c>
      <c r="I5" s="4"/>
      <c r="J5" s="4"/>
      <c r="K5" s="4"/>
      <c r="L5" s="4"/>
    </row>
    <row r="6" spans="1:12" x14ac:dyDescent="0.25">
      <c r="A6" s="6"/>
      <c r="B6" s="6"/>
      <c r="C6" s="8" t="s">
        <v>9</v>
      </c>
      <c r="D6" s="9">
        <f>590.62/2</f>
        <v>295.31</v>
      </c>
      <c r="E6" s="6" t="s">
        <v>270</v>
      </c>
      <c r="F6" s="8" t="s">
        <v>399</v>
      </c>
      <c r="G6" s="10">
        <v>0</v>
      </c>
      <c r="H6" s="6" t="s">
        <v>81</v>
      </c>
      <c r="I6" s="6"/>
      <c r="J6" s="4"/>
      <c r="K6" s="4"/>
      <c r="L6" s="4"/>
    </row>
    <row r="7" spans="1:12" x14ac:dyDescent="0.25">
      <c r="A7" s="6"/>
      <c r="B7" s="6"/>
      <c r="C7" s="8" t="s">
        <v>10</v>
      </c>
      <c r="D7" s="9">
        <f>495/2</f>
        <v>247.5</v>
      </c>
      <c r="E7" s="6" t="s">
        <v>81</v>
      </c>
      <c r="F7" s="14"/>
      <c r="G7" s="15"/>
      <c r="H7" s="6"/>
      <c r="I7" s="6"/>
      <c r="J7" s="4"/>
      <c r="K7" s="4"/>
      <c r="L7" s="4"/>
    </row>
    <row r="8" spans="1:12" x14ac:dyDescent="0.25">
      <c r="A8" s="6"/>
      <c r="B8" s="6"/>
      <c r="C8" s="6"/>
      <c r="D8" s="27">
        <f>SUM(D3:D7)</f>
        <v>2237.0645</v>
      </c>
      <c r="E8" s="6" t="s">
        <v>177</v>
      </c>
      <c r="F8" s="6"/>
      <c r="G8" s="6"/>
      <c r="H8" s="6"/>
      <c r="I8" s="6"/>
      <c r="J8" s="4"/>
      <c r="K8" s="4"/>
      <c r="L8" s="4"/>
    </row>
    <row r="9" spans="1:12" x14ac:dyDescent="0.25">
      <c r="A9" s="16" t="s">
        <v>11</v>
      </c>
      <c r="B9" s="17"/>
      <c r="C9" s="17"/>
      <c r="D9" s="17"/>
      <c r="E9" s="17"/>
      <c r="F9" s="17"/>
      <c r="G9" s="17"/>
      <c r="H9" s="17"/>
      <c r="I9" s="6"/>
      <c r="J9" s="4"/>
      <c r="K9" s="4"/>
      <c r="L9" s="4"/>
    </row>
    <row r="10" spans="1:12" ht="17.399999999999999" x14ac:dyDescent="0.35">
      <c r="A10" s="235" t="s">
        <v>12</v>
      </c>
      <c r="B10" s="235"/>
      <c r="C10" s="236"/>
      <c r="D10" s="18" t="s">
        <v>398</v>
      </c>
      <c r="E10" s="237" t="s">
        <v>72</v>
      </c>
      <c r="F10" s="236"/>
      <c r="G10" s="19">
        <v>30</v>
      </c>
      <c r="H10" s="20" t="s">
        <v>73</v>
      </c>
      <c r="I10" s="17"/>
      <c r="J10" s="4"/>
      <c r="K10" s="4"/>
      <c r="L10" s="4"/>
    </row>
    <row r="11" spans="1:12" ht="17.399999999999999" x14ac:dyDescent="0.35">
      <c r="A11" s="237" t="s">
        <v>13</v>
      </c>
      <c r="B11" s="235"/>
      <c r="C11" s="236"/>
      <c r="D11" s="21" t="s">
        <v>14</v>
      </c>
      <c r="E11" s="237" t="s">
        <v>74</v>
      </c>
      <c r="F11" s="236"/>
      <c r="G11" s="19">
        <v>500</v>
      </c>
      <c r="H11" s="22" t="s">
        <v>71</v>
      </c>
      <c r="I11" s="17"/>
      <c r="J11" s="4"/>
      <c r="K11" s="4"/>
      <c r="L11" s="4"/>
    </row>
    <row r="12" spans="1:12" x14ac:dyDescent="0.25">
      <c r="A12" s="232" t="s">
        <v>56</v>
      </c>
      <c r="B12" s="232"/>
      <c r="C12" s="232"/>
      <c r="D12" s="232"/>
      <c r="E12" s="232"/>
      <c r="F12" s="6"/>
      <c r="G12" s="6"/>
      <c r="H12" s="6"/>
      <c r="I12" s="6"/>
      <c r="J12" s="4"/>
      <c r="K12" s="151">
        <f>G27</f>
        <v>0.3</v>
      </c>
    </row>
    <row r="13" spans="1:12" ht="16.2" x14ac:dyDescent="0.25">
      <c r="A13" s="233" t="s">
        <v>15</v>
      </c>
      <c r="B13" s="233"/>
      <c r="C13" s="233"/>
      <c r="D13" s="23">
        <v>25</v>
      </c>
      <c r="E13" s="12" t="s">
        <v>75</v>
      </c>
      <c r="F13" s="17"/>
      <c r="G13" s="6"/>
      <c r="H13" s="6"/>
      <c r="I13" s="6"/>
      <c r="J13" s="4"/>
      <c r="K13" s="4"/>
      <c r="L13" s="4"/>
    </row>
    <row r="14" spans="1:12" ht="16.2" x14ac:dyDescent="0.25">
      <c r="A14" s="233" t="s">
        <v>16</v>
      </c>
      <c r="B14" s="233"/>
      <c r="C14" s="233"/>
      <c r="D14" s="23">
        <v>20</v>
      </c>
      <c r="E14" s="12" t="s">
        <v>76</v>
      </c>
      <c r="F14" s="17"/>
      <c r="G14" s="6"/>
      <c r="H14" s="6"/>
      <c r="I14" s="6"/>
      <c r="J14" s="4"/>
      <c r="K14" s="4"/>
      <c r="L14" s="4"/>
    </row>
    <row r="15" spans="1:12" x14ac:dyDescent="0.25">
      <c r="A15" s="14"/>
      <c r="B15" s="14"/>
      <c r="C15" s="14"/>
      <c r="D15" s="24"/>
      <c r="E15" s="6"/>
      <c r="F15" s="17"/>
      <c r="G15" s="6"/>
      <c r="H15" s="6"/>
      <c r="I15" s="6"/>
      <c r="J15" s="4"/>
      <c r="K15" s="4"/>
      <c r="L15" s="4"/>
    </row>
    <row r="16" spans="1:12" x14ac:dyDescent="0.25">
      <c r="A16" s="25"/>
      <c r="B16" s="6"/>
      <c r="C16" s="6"/>
      <c r="D16" s="231" t="s">
        <v>57</v>
      </c>
      <c r="E16" s="231"/>
      <c r="F16" s="231"/>
      <c r="G16" s="231"/>
      <c r="H16" s="231"/>
      <c r="I16" s="231"/>
      <c r="J16" s="6"/>
      <c r="K16" s="4"/>
      <c r="L16" s="4"/>
    </row>
    <row r="17" spans="1:14" x14ac:dyDescent="0.25">
      <c r="A17" s="6"/>
      <c r="B17" s="6"/>
      <c r="C17" s="6"/>
      <c r="D17" s="6"/>
      <c r="E17" s="6"/>
      <c r="F17" s="26" t="s">
        <v>17</v>
      </c>
      <c r="G17" s="6"/>
      <c r="H17" s="6"/>
      <c r="I17" s="6"/>
      <c r="J17" s="4"/>
      <c r="K17" s="4"/>
      <c r="L17" s="4"/>
    </row>
    <row r="18" spans="1:14" x14ac:dyDescent="0.25">
      <c r="A18" s="4"/>
      <c r="B18" s="6"/>
      <c r="C18" s="6"/>
      <c r="D18" s="6"/>
      <c r="E18" s="6"/>
      <c r="F18" s="14" t="s">
        <v>18</v>
      </c>
      <c r="G18" s="15">
        <v>2.2999999999999998</v>
      </c>
      <c r="H18" s="27" t="s">
        <v>19</v>
      </c>
      <c r="I18" s="6"/>
      <c r="J18" s="6"/>
      <c r="K18" s="4"/>
      <c r="L18" s="150">
        <f>G29</f>
        <v>0.65</v>
      </c>
      <c r="M18" s="70">
        <f>G28</f>
        <v>0.65</v>
      </c>
    </row>
    <row r="19" spans="1:14" x14ac:dyDescent="0.25">
      <c r="A19" s="4"/>
      <c r="B19" s="6"/>
      <c r="C19" s="6"/>
      <c r="D19" s="6"/>
      <c r="E19" s="6"/>
      <c r="F19" s="14" t="s">
        <v>20</v>
      </c>
      <c r="G19" s="33">
        <v>0.214</v>
      </c>
      <c r="H19" s="6" t="s">
        <v>19</v>
      </c>
      <c r="I19" s="6"/>
      <c r="J19" s="6"/>
      <c r="K19" s="4"/>
      <c r="L19" s="4"/>
    </row>
    <row r="20" spans="1:14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1:14" x14ac:dyDescent="0.25">
      <c r="A21" s="4"/>
      <c r="B21" s="6"/>
      <c r="C21" s="28"/>
      <c r="D21" s="6"/>
      <c r="E21" s="6"/>
      <c r="F21" s="26" t="s">
        <v>21</v>
      </c>
      <c r="G21" s="6"/>
      <c r="H21" s="6"/>
      <c r="I21" s="6"/>
      <c r="J21" s="6"/>
      <c r="K21" s="4"/>
      <c r="L21" s="4"/>
    </row>
    <row r="22" spans="1:14" x14ac:dyDescent="0.25">
      <c r="A22" s="4"/>
      <c r="B22" s="6"/>
      <c r="C22" s="15"/>
      <c r="D22" s="6"/>
      <c r="E22" s="6"/>
      <c r="F22" s="14" t="s">
        <v>22</v>
      </c>
      <c r="G22" s="29">
        <v>7.49</v>
      </c>
      <c r="H22" s="225" t="s">
        <v>58</v>
      </c>
      <c r="I22" s="225"/>
      <c r="J22" s="225"/>
      <c r="K22" s="4"/>
      <c r="L22" s="4"/>
    </row>
    <row r="23" spans="1:14" x14ac:dyDescent="0.25">
      <c r="A23" s="4"/>
      <c r="B23" s="6"/>
      <c r="C23" s="6"/>
      <c r="D23" s="6"/>
      <c r="E23" s="6"/>
      <c r="F23" s="14" t="s">
        <v>23</v>
      </c>
      <c r="G23" s="31">
        <v>7.4999999999999997E-2</v>
      </c>
      <c r="H23" s="6" t="s">
        <v>19</v>
      </c>
      <c r="I23" s="6"/>
      <c r="J23" s="6"/>
      <c r="K23" s="4"/>
      <c r="L23" s="4"/>
    </row>
    <row r="24" spans="1:14" x14ac:dyDescent="0.25">
      <c r="A24" s="4"/>
      <c r="B24" s="6"/>
      <c r="C24" s="6"/>
      <c r="D24" s="6"/>
      <c r="E24" s="6"/>
      <c r="F24" s="14" t="s">
        <v>24</v>
      </c>
      <c r="G24" s="32">
        <f>G18+G23+G19</f>
        <v>2.589</v>
      </c>
      <c r="H24" s="6" t="s">
        <v>25</v>
      </c>
      <c r="I24" s="6"/>
      <c r="J24" s="6"/>
      <c r="K24" s="4"/>
      <c r="L24" s="4"/>
    </row>
    <row r="25" spans="1:14" x14ac:dyDescent="0.25">
      <c r="A25" s="4"/>
      <c r="B25" s="28"/>
      <c r="C25" s="14"/>
      <c r="D25" s="6"/>
      <c r="E25" s="6"/>
      <c r="F25" s="14" t="s">
        <v>26</v>
      </c>
      <c r="G25" s="33">
        <v>0.8</v>
      </c>
      <c r="H25" s="6" t="s">
        <v>27</v>
      </c>
      <c r="I25" s="6"/>
      <c r="J25" s="6"/>
      <c r="K25" s="4"/>
      <c r="L25" s="4"/>
    </row>
    <row r="26" spans="1:14" x14ac:dyDescent="0.25">
      <c r="A26" s="4"/>
      <c r="B26" s="6"/>
      <c r="C26" s="6"/>
      <c r="D26" s="6"/>
      <c r="E26" s="6"/>
      <c r="F26" s="14" t="s">
        <v>28</v>
      </c>
      <c r="G26" s="32">
        <f>G22-G24-G25</f>
        <v>4.101</v>
      </c>
      <c r="H26" s="6" t="s">
        <v>19</v>
      </c>
      <c r="I26" s="6"/>
      <c r="J26" s="6"/>
      <c r="L26" s="54">
        <f>G37</f>
        <v>0.35</v>
      </c>
      <c r="N26">
        <f>0.05</f>
        <v>0.05</v>
      </c>
    </row>
    <row r="27" spans="1:14" x14ac:dyDescent="0.25">
      <c r="A27" s="4"/>
      <c r="B27" s="6"/>
      <c r="C27" s="6"/>
      <c r="D27" s="6"/>
      <c r="E27" s="6"/>
      <c r="F27" s="14" t="s">
        <v>29</v>
      </c>
      <c r="G27" s="33">
        <v>0.3</v>
      </c>
      <c r="H27" s="6" t="s">
        <v>19</v>
      </c>
      <c r="I27" s="6"/>
      <c r="J27" s="6"/>
      <c r="K27" s="4"/>
      <c r="L27" s="4"/>
    </row>
    <row r="28" spans="1:14" x14ac:dyDescent="0.25">
      <c r="A28" s="4"/>
      <c r="B28" s="6"/>
      <c r="C28" s="6"/>
      <c r="D28" s="6"/>
      <c r="E28" s="6"/>
      <c r="F28" s="14" t="s">
        <v>30</v>
      </c>
      <c r="G28" s="34">
        <v>0.65</v>
      </c>
      <c r="H28" s="6" t="s">
        <v>19</v>
      </c>
      <c r="I28" s="6"/>
      <c r="J28" s="6"/>
      <c r="K28" s="4"/>
      <c r="L28" s="4"/>
    </row>
    <row r="29" spans="1:14" x14ac:dyDescent="0.25">
      <c r="A29" s="4"/>
      <c r="B29" s="6"/>
      <c r="C29" s="6"/>
      <c r="D29" s="6"/>
      <c r="E29" s="6"/>
      <c r="F29" s="14" t="s">
        <v>31</v>
      </c>
      <c r="G29" s="34">
        <v>0.65</v>
      </c>
      <c r="H29" s="6" t="s">
        <v>19</v>
      </c>
      <c r="I29" s="6"/>
      <c r="J29" s="6"/>
      <c r="K29" s="4"/>
      <c r="L29" s="4"/>
    </row>
    <row r="30" spans="1:14" x14ac:dyDescent="0.25">
      <c r="A30" s="4"/>
      <c r="B30" s="6"/>
      <c r="C30" s="6"/>
      <c r="D30" s="6"/>
      <c r="E30" s="6"/>
      <c r="F30" s="14" t="s">
        <v>32</v>
      </c>
      <c r="G30" s="32">
        <f>G27+G28+G29</f>
        <v>1.6</v>
      </c>
      <c r="H30" s="6" t="s">
        <v>19</v>
      </c>
      <c r="I30" s="6"/>
      <c r="J30" s="6"/>
      <c r="K30" s="4"/>
      <c r="L30" s="4"/>
    </row>
    <row r="31" spans="1:14" x14ac:dyDescent="0.25">
      <c r="A31" s="4"/>
      <c r="B31" s="6"/>
      <c r="C31" s="6"/>
      <c r="D31" s="6"/>
      <c r="E31" s="6"/>
      <c r="F31" s="14" t="s">
        <v>33</v>
      </c>
      <c r="G31" s="35">
        <v>1.2</v>
      </c>
      <c r="H31" s="6" t="s">
        <v>19</v>
      </c>
      <c r="I31" s="6"/>
      <c r="J31" s="6"/>
      <c r="K31" s="4"/>
      <c r="L31" s="4"/>
    </row>
    <row r="32" spans="1:14" x14ac:dyDescent="0.25">
      <c r="A32" s="4"/>
      <c r="B32" s="6"/>
      <c r="C32" s="6"/>
      <c r="D32" s="6"/>
      <c r="E32" s="6"/>
      <c r="F32" s="14" t="s">
        <v>34</v>
      </c>
      <c r="G32" s="15">
        <v>11</v>
      </c>
      <c r="H32" s="6" t="s">
        <v>19</v>
      </c>
      <c r="I32" s="32"/>
      <c r="J32" s="6"/>
      <c r="K32" s="4"/>
      <c r="L32" s="4"/>
    </row>
    <row r="33" spans="1:16" x14ac:dyDescent="0.25">
      <c r="A33" s="6"/>
      <c r="B33" s="6"/>
      <c r="C33" s="6"/>
      <c r="D33" s="6"/>
      <c r="E33" s="6"/>
      <c r="F33" s="14" t="s">
        <v>35</v>
      </c>
      <c r="G33" s="15">
        <f>G31</f>
        <v>1.2</v>
      </c>
      <c r="H33" s="6" t="s">
        <v>19</v>
      </c>
      <c r="I33" s="6"/>
      <c r="J33" s="6"/>
      <c r="K33" s="6"/>
      <c r="L33" s="6"/>
      <c r="M33" s="1"/>
      <c r="N33" s="1"/>
      <c r="O33" s="1"/>
      <c r="P33" s="1"/>
    </row>
    <row r="34" spans="1:16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4"/>
    </row>
    <row r="35" spans="1:16" x14ac:dyDescent="0.25">
      <c r="A35" s="6"/>
      <c r="B35" s="6"/>
      <c r="C35" s="6"/>
      <c r="D35" s="6"/>
      <c r="E35" s="225" t="s">
        <v>108</v>
      </c>
      <c r="F35" s="225"/>
      <c r="G35" s="6">
        <v>3.5</v>
      </c>
      <c r="H35" s="6" t="s">
        <v>19</v>
      </c>
      <c r="I35" s="4"/>
      <c r="J35" s="4"/>
      <c r="K35" s="4"/>
      <c r="L35" s="4"/>
    </row>
    <row r="36" spans="1:16" x14ac:dyDescent="0.25">
      <c r="A36" s="6"/>
      <c r="B36" s="6"/>
      <c r="C36" s="6"/>
      <c r="D36" s="6"/>
      <c r="E36" s="225" t="s">
        <v>109</v>
      </c>
      <c r="F36" s="225"/>
      <c r="G36" s="6">
        <v>0.3</v>
      </c>
      <c r="H36" s="6" t="s">
        <v>19</v>
      </c>
      <c r="I36" s="4"/>
      <c r="J36" s="4"/>
      <c r="K36" s="4"/>
      <c r="L36" s="4"/>
    </row>
    <row r="37" spans="1:16" x14ac:dyDescent="0.25">
      <c r="A37" s="6"/>
      <c r="B37" s="6"/>
      <c r="C37" s="6"/>
      <c r="D37" s="6"/>
      <c r="E37" s="225" t="s">
        <v>63</v>
      </c>
      <c r="F37" s="225"/>
      <c r="G37" s="6">
        <v>0.35</v>
      </c>
      <c r="H37" s="6" t="s">
        <v>19</v>
      </c>
      <c r="I37" s="6"/>
      <c r="J37" s="6"/>
      <c r="K37" s="6"/>
      <c r="L37" s="4"/>
      <c r="M37" s="58">
        <f>G31</f>
        <v>1.2</v>
      </c>
    </row>
    <row r="38" spans="1:16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4"/>
    </row>
    <row r="39" spans="1:16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4"/>
    </row>
    <row r="40" spans="1:16" x14ac:dyDescent="0.25">
      <c r="A40" s="25" t="s">
        <v>36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1"/>
      <c r="N40" s="1"/>
      <c r="O40" s="1"/>
      <c r="P40" s="1"/>
    </row>
    <row r="41" spans="1:16" x14ac:dyDescent="0.25">
      <c r="A41" s="25" t="s">
        <v>37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1"/>
      <c r="N41" s="1"/>
      <c r="O41" s="1"/>
      <c r="P41" s="1"/>
    </row>
    <row r="42" spans="1:16" x14ac:dyDescent="0.25">
      <c r="A42" s="25"/>
      <c r="B42" s="229" t="s">
        <v>38</v>
      </c>
      <c r="C42" s="229"/>
      <c r="D42" s="227" t="s">
        <v>560</v>
      </c>
      <c r="E42" s="228" t="s">
        <v>39</v>
      </c>
      <c r="F42" s="227" t="s">
        <v>40</v>
      </c>
      <c r="G42" s="6"/>
      <c r="H42" s="6"/>
      <c r="I42" s="6"/>
      <c r="J42" s="6"/>
      <c r="K42" s="6"/>
      <c r="L42" s="6"/>
      <c r="M42" s="1"/>
      <c r="N42" s="1"/>
      <c r="O42" s="1"/>
      <c r="P42" s="1"/>
    </row>
    <row r="43" spans="1:16" x14ac:dyDescent="0.25">
      <c r="A43" s="6"/>
      <c r="B43" s="229"/>
      <c r="C43" s="229"/>
      <c r="D43" s="227"/>
      <c r="E43" s="228"/>
      <c r="F43" s="227"/>
      <c r="G43" s="37"/>
      <c r="H43" s="37"/>
      <c r="I43" s="37"/>
      <c r="J43" s="38"/>
      <c r="K43" s="6"/>
      <c r="L43" s="6"/>
      <c r="M43" s="1"/>
      <c r="N43" s="1"/>
      <c r="O43" s="1"/>
      <c r="P43" s="1"/>
    </row>
    <row r="44" spans="1:16" x14ac:dyDescent="0.25">
      <c r="A44" s="6"/>
      <c r="B44" s="227" t="s">
        <v>62</v>
      </c>
      <c r="C44" s="227"/>
      <c r="D44" s="10">
        <f>G31*G26*G32*D13</f>
        <v>1353.33</v>
      </c>
      <c r="E44" s="39">
        <v>0</v>
      </c>
      <c r="F44" s="10">
        <f>D44*E44</f>
        <v>0</v>
      </c>
      <c r="G44" s="40"/>
      <c r="H44" s="37"/>
      <c r="I44" s="37"/>
      <c r="J44" s="6"/>
      <c r="K44" s="6"/>
      <c r="L44" s="6"/>
      <c r="M44" s="1"/>
      <c r="N44" s="1"/>
      <c r="O44" s="1"/>
      <c r="P44" s="1"/>
    </row>
    <row r="45" spans="1:16" x14ac:dyDescent="0.25">
      <c r="A45" s="6"/>
      <c r="B45" s="227" t="s">
        <v>41</v>
      </c>
      <c r="C45" s="227"/>
      <c r="D45" s="10">
        <f>G25*G30*G32*D13</f>
        <v>352.00000000000006</v>
      </c>
      <c r="E45" s="39">
        <f>-(G31/2)+G30/2</f>
        <v>0.20000000000000007</v>
      </c>
      <c r="F45" s="10">
        <f t="shared" ref="F45:F56" si="0">D45*E45</f>
        <v>70.400000000000034</v>
      </c>
      <c r="G45" s="40"/>
      <c r="H45" s="37"/>
      <c r="I45" s="37"/>
      <c r="J45" s="6"/>
      <c r="K45" s="6"/>
      <c r="L45" s="6"/>
      <c r="M45" s="1"/>
      <c r="N45" s="1"/>
      <c r="O45" s="1"/>
      <c r="P45" s="1"/>
    </row>
    <row r="46" spans="1:16" x14ac:dyDescent="0.25">
      <c r="A46" s="6"/>
      <c r="B46" s="227" t="s">
        <v>42</v>
      </c>
      <c r="C46" s="227"/>
      <c r="D46" s="203">
        <f>G27*G24*G32*D13</f>
        <v>213.59249999999997</v>
      </c>
      <c r="E46" s="39">
        <f>-(G31/2)+(G27/2)-G37</f>
        <v>-0.79999999999999993</v>
      </c>
      <c r="F46" s="10">
        <f t="shared" si="0"/>
        <v>-170.87399999999997</v>
      </c>
      <c r="G46" s="40"/>
      <c r="H46" s="37"/>
      <c r="I46" s="37"/>
      <c r="J46" s="6"/>
      <c r="K46" s="6"/>
      <c r="L46" s="6"/>
      <c r="M46" s="1"/>
      <c r="N46" s="1"/>
      <c r="O46" s="1"/>
      <c r="P46" s="1"/>
    </row>
    <row r="47" spans="1:16" x14ac:dyDescent="0.25">
      <c r="A47" s="6"/>
      <c r="B47" s="40"/>
      <c r="C47" s="37"/>
      <c r="D47" s="41">
        <f>SUM(D44:D46)</f>
        <v>1918.9224999999999</v>
      </c>
      <c r="E47" s="6"/>
      <c r="F47" s="41">
        <f>SUM(F44:F46)</f>
        <v>-100.47399999999993</v>
      </c>
      <c r="G47" s="6"/>
      <c r="H47" s="6"/>
      <c r="I47" s="6"/>
      <c r="J47" s="6"/>
      <c r="K47" s="6"/>
      <c r="L47" s="4"/>
    </row>
    <row r="48" spans="1:16" x14ac:dyDescent="0.25">
      <c r="A48" s="6"/>
      <c r="B48" s="230"/>
      <c r="C48" s="230"/>
      <c r="D48" s="4"/>
      <c r="E48" s="6"/>
      <c r="F48" s="4"/>
      <c r="G48" s="6"/>
      <c r="H48" s="6"/>
      <c r="I48" s="6"/>
      <c r="J48" s="6"/>
      <c r="K48" s="4"/>
      <c r="L48" s="4"/>
    </row>
    <row r="49" spans="1:16" x14ac:dyDescent="0.25">
      <c r="A49" s="6"/>
      <c r="B49" s="40"/>
      <c r="C49" s="37"/>
      <c r="D49" s="37"/>
      <c r="E49" s="6"/>
      <c r="F49" s="6"/>
      <c r="G49" s="6"/>
      <c r="H49" s="6"/>
      <c r="I49" s="6"/>
      <c r="J49" s="6"/>
      <c r="K49" s="4"/>
      <c r="L49" s="4"/>
    </row>
    <row r="50" spans="1:16" x14ac:dyDescent="0.25">
      <c r="A50" s="6"/>
      <c r="B50" s="6"/>
      <c r="C50" s="6"/>
      <c r="D50" s="6"/>
      <c r="E50" s="6"/>
      <c r="F50" s="4"/>
      <c r="G50" s="4"/>
      <c r="H50" s="4"/>
      <c r="I50" s="4"/>
      <c r="J50" s="4"/>
      <c r="K50" s="4"/>
      <c r="L50" s="4"/>
    </row>
    <row r="51" spans="1:16" x14ac:dyDescent="0.25">
      <c r="A51" s="6"/>
      <c r="B51" s="6"/>
      <c r="C51" s="6"/>
      <c r="D51" s="6"/>
      <c r="E51" s="6"/>
      <c r="F51" s="4"/>
      <c r="G51" s="4"/>
      <c r="H51" s="4"/>
      <c r="I51" s="4"/>
      <c r="J51" s="4"/>
      <c r="K51" s="4"/>
      <c r="L51" s="4"/>
    </row>
    <row r="52" spans="1:16" x14ac:dyDescent="0.25">
      <c r="A52" s="6"/>
      <c r="B52" s="40"/>
      <c r="C52" s="37"/>
      <c r="D52" s="37"/>
      <c r="E52" s="6"/>
      <c r="F52" s="42"/>
      <c r="G52" s="37"/>
      <c r="H52" s="43"/>
      <c r="I52" s="6"/>
      <c r="J52" s="6"/>
      <c r="K52" s="6"/>
      <c r="L52" s="6"/>
      <c r="M52" s="1"/>
      <c r="N52" s="1"/>
      <c r="O52" s="1"/>
    </row>
    <row r="53" spans="1:16" x14ac:dyDescent="0.25">
      <c r="A53" s="16" t="s">
        <v>43</v>
      </c>
      <c r="B53" s="40"/>
      <c r="C53" s="37"/>
      <c r="D53" s="43"/>
      <c r="E53" s="6"/>
      <c r="F53" s="42"/>
      <c r="G53" s="6"/>
      <c r="H53" s="6"/>
      <c r="I53" s="6"/>
      <c r="J53" s="6"/>
      <c r="K53" s="6"/>
      <c r="L53" s="6"/>
      <c r="M53" s="1"/>
      <c r="N53" s="1"/>
      <c r="O53" s="1"/>
    </row>
    <row r="54" spans="1:16" x14ac:dyDescent="0.25">
      <c r="A54" s="6"/>
      <c r="B54" s="226" t="s">
        <v>44</v>
      </c>
      <c r="C54" s="226"/>
      <c r="D54" s="44">
        <f>SUM(D3:D6)</f>
        <v>1989.5645</v>
      </c>
      <c r="E54" s="9">
        <f>-(G37+G33/2)+G27+G29</f>
        <v>0</v>
      </c>
      <c r="F54" s="10">
        <f t="shared" si="0"/>
        <v>0</v>
      </c>
      <c r="G54" s="6"/>
      <c r="H54" s="6"/>
      <c r="I54" s="6"/>
      <c r="J54" s="6"/>
      <c r="K54" s="6"/>
      <c r="L54" s="6"/>
      <c r="M54" s="1"/>
      <c r="N54" s="1"/>
      <c r="O54" s="1"/>
      <c r="P54" s="1"/>
    </row>
    <row r="55" spans="1:16" x14ac:dyDescent="0.25">
      <c r="A55" s="6"/>
      <c r="B55" s="226" t="s">
        <v>59</v>
      </c>
      <c r="C55" s="226"/>
      <c r="D55" s="45">
        <f>D7</f>
        <v>247.5</v>
      </c>
      <c r="E55" s="9">
        <f>E54</f>
        <v>0</v>
      </c>
      <c r="F55" s="10">
        <f t="shared" si="0"/>
        <v>0</v>
      </c>
      <c r="G55" s="6"/>
      <c r="H55" s="6"/>
      <c r="I55" s="6"/>
      <c r="J55" s="6"/>
      <c r="K55" s="6"/>
      <c r="L55" s="6"/>
      <c r="M55" s="1"/>
      <c r="N55" s="1"/>
      <c r="O55" s="1"/>
      <c r="P55" s="1"/>
    </row>
    <row r="56" spans="1:16" x14ac:dyDescent="0.25">
      <c r="A56" s="6"/>
      <c r="B56" s="226" t="s">
        <v>45</v>
      </c>
      <c r="C56" s="226"/>
      <c r="D56" s="10">
        <f>MAX(G3:G5)+G6</f>
        <v>803.32400000000007</v>
      </c>
      <c r="E56" s="9">
        <f>E55</f>
        <v>0</v>
      </c>
      <c r="F56" s="10">
        <f t="shared" si="0"/>
        <v>0</v>
      </c>
      <c r="G56" s="42"/>
      <c r="H56" s="6"/>
      <c r="I56" s="6"/>
      <c r="J56" s="6"/>
      <c r="K56" s="6"/>
      <c r="L56" s="6"/>
      <c r="M56" s="1"/>
      <c r="N56" s="1"/>
      <c r="O56" s="1"/>
      <c r="P56" s="1"/>
    </row>
    <row r="57" spans="1:16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1:16" x14ac:dyDescent="0.25">
      <c r="A58" s="16" t="s">
        <v>46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1:16" x14ac:dyDescent="0.25">
      <c r="A59" s="6"/>
      <c r="B59" s="6"/>
      <c r="C59" s="14" t="s">
        <v>47</v>
      </c>
      <c r="D59" s="6">
        <v>35</v>
      </c>
      <c r="E59" s="6" t="s">
        <v>60</v>
      </c>
      <c r="F59" s="46" t="s">
        <v>48</v>
      </c>
      <c r="G59" s="6">
        <v>0</v>
      </c>
      <c r="H59" s="6"/>
      <c r="I59" s="37"/>
      <c r="J59" s="6"/>
      <c r="K59" s="6"/>
      <c r="L59" s="6"/>
    </row>
    <row r="60" spans="1:16" x14ac:dyDescent="0.25">
      <c r="A60" s="6"/>
      <c r="B60" s="6"/>
      <c r="C60" s="46" t="s">
        <v>49</v>
      </c>
      <c r="D60" s="47">
        <v>0</v>
      </c>
      <c r="E60" s="32"/>
      <c r="F60" s="48" t="s">
        <v>50</v>
      </c>
      <c r="G60" s="27">
        <f>IF(22.5&lt;(2/3)*D59,22.5,(2/3)*D59)</f>
        <v>22.5</v>
      </c>
      <c r="H60" s="14" t="s">
        <v>70</v>
      </c>
      <c r="I60" s="6"/>
      <c r="J60" s="6"/>
      <c r="K60" s="6"/>
      <c r="L60" s="6"/>
      <c r="M60" s="2"/>
      <c r="N60" s="1"/>
      <c r="O60" s="1"/>
      <c r="P60" s="1"/>
    </row>
    <row r="61" spans="1:16" ht="16.2" x14ac:dyDescent="0.25">
      <c r="A61" s="6"/>
      <c r="B61" s="6"/>
      <c r="C61" s="14" t="s">
        <v>51</v>
      </c>
      <c r="D61" s="40">
        <f>findka(D59,D60,G60,G59)</f>
        <v>0.24448669401704909</v>
      </c>
      <c r="E61" s="40"/>
      <c r="F61" s="14" t="s">
        <v>52</v>
      </c>
      <c r="G61" s="15">
        <v>20</v>
      </c>
      <c r="H61" s="6" t="s">
        <v>78</v>
      </c>
      <c r="I61" s="6"/>
      <c r="J61" s="6"/>
      <c r="K61" s="6"/>
      <c r="L61" s="6"/>
      <c r="M61" s="1"/>
      <c r="N61" s="1"/>
      <c r="O61" s="1"/>
    </row>
    <row r="62" spans="1:16" x14ac:dyDescent="0.25">
      <c r="A62" s="6"/>
      <c r="B62" s="6"/>
      <c r="C62" s="14" t="s">
        <v>53</v>
      </c>
      <c r="D62" s="15">
        <f>G22-G36</f>
        <v>7.19</v>
      </c>
      <c r="E62" s="6" t="s">
        <v>19</v>
      </c>
      <c r="F62" s="46"/>
      <c r="G62" s="27"/>
      <c r="H62" s="6"/>
      <c r="I62" s="6"/>
      <c r="J62" s="6"/>
      <c r="K62" s="6"/>
      <c r="L62" s="6"/>
    </row>
    <row r="63" spans="1:16" ht="16.2" x14ac:dyDescent="0.25">
      <c r="A63" s="6"/>
      <c r="B63" s="6"/>
      <c r="C63" s="14" t="s">
        <v>54</v>
      </c>
      <c r="D63" s="15">
        <f>D61*G61*D62</f>
        <v>35.157186599651659</v>
      </c>
      <c r="E63" s="6" t="s">
        <v>561</v>
      </c>
      <c r="F63" s="48"/>
      <c r="G63" s="6"/>
      <c r="H63" s="6"/>
      <c r="I63" s="6"/>
      <c r="J63" s="6"/>
      <c r="K63" s="6"/>
      <c r="L63" s="6"/>
    </row>
    <row r="64" spans="1:16" x14ac:dyDescent="0.25">
      <c r="A64" s="6"/>
      <c r="B64" s="6"/>
      <c r="C64" s="14" t="s">
        <v>55</v>
      </c>
      <c r="D64" s="49">
        <f>0.5*D63*D62*G32</f>
        <v>1390.290944083225</v>
      </c>
      <c r="E64" s="14" t="s">
        <v>69</v>
      </c>
      <c r="F64" s="14">
        <v>0.42</v>
      </c>
      <c r="G64" s="4" t="s">
        <v>67</v>
      </c>
      <c r="H64" s="50"/>
      <c r="I64" s="50"/>
      <c r="J64" s="50"/>
      <c r="K64" s="50" t="s">
        <v>64</v>
      </c>
      <c r="L64" s="6"/>
    </row>
    <row r="65" spans="1:15" x14ac:dyDescent="0.25">
      <c r="A65" s="6"/>
      <c r="B65" s="6"/>
      <c r="C65" s="14"/>
      <c r="D65" s="32"/>
      <c r="E65" s="14" t="s">
        <v>69</v>
      </c>
      <c r="F65" s="6">
        <v>0.33</v>
      </c>
      <c r="G65" s="50" t="s">
        <v>68</v>
      </c>
      <c r="H65" s="50"/>
      <c r="I65" s="50"/>
      <c r="J65" s="50"/>
      <c r="K65" s="50"/>
      <c r="L65" s="6"/>
    </row>
    <row r="66" spans="1:15" x14ac:dyDescent="0.25">
      <c r="A66" s="6"/>
      <c r="B66" s="4"/>
      <c r="C66" s="4"/>
      <c r="D66" s="15"/>
      <c r="E66" s="6"/>
      <c r="F66" s="6"/>
      <c r="G66" s="6"/>
      <c r="H66" s="6"/>
      <c r="I66" s="6"/>
      <c r="J66" s="6"/>
      <c r="K66" s="6"/>
      <c r="L66" s="6"/>
    </row>
    <row r="67" spans="1:15" x14ac:dyDescent="0.25">
      <c r="A67" s="6"/>
      <c r="B67" s="4"/>
      <c r="C67" s="4"/>
      <c r="D67" s="27"/>
      <c r="E67" s="6"/>
      <c r="F67" s="6"/>
      <c r="G67" s="6"/>
      <c r="H67" s="6"/>
      <c r="I67" s="6"/>
      <c r="J67" s="6"/>
      <c r="K67" s="6"/>
      <c r="L67" s="6"/>
    </row>
    <row r="68" spans="1:15" x14ac:dyDescent="0.25">
      <c r="A68" s="6"/>
      <c r="B68" s="6"/>
      <c r="C68" s="8"/>
      <c r="D68" s="51" t="s">
        <v>85</v>
      </c>
      <c r="E68" s="36" t="s">
        <v>88</v>
      </c>
      <c r="F68" s="36" t="s">
        <v>40</v>
      </c>
      <c r="G68" s="6"/>
      <c r="H68" s="6"/>
      <c r="I68" s="6"/>
      <c r="J68" s="6"/>
      <c r="K68" s="6"/>
      <c r="L68" s="6"/>
    </row>
    <row r="69" spans="1:15" x14ac:dyDescent="0.25">
      <c r="A69" s="6"/>
      <c r="B69" s="6"/>
      <c r="C69" s="5" t="s">
        <v>65</v>
      </c>
      <c r="D69" s="204">
        <f>D64*COS(G60*PI()/180)</f>
        <v>1284.4613474742855</v>
      </c>
      <c r="E69" s="108">
        <f>F64*D62</f>
        <v>3.0198</v>
      </c>
      <c r="F69" s="204">
        <f>D69*E69</f>
        <v>3878.8163771028476</v>
      </c>
      <c r="G69" s="4"/>
      <c r="H69" s="4"/>
      <c r="I69" s="4"/>
      <c r="J69" s="4"/>
      <c r="K69" s="4"/>
      <c r="L69" s="4"/>
    </row>
    <row r="70" spans="1:15" x14ac:dyDescent="0.25">
      <c r="A70" s="6"/>
      <c r="B70" s="6"/>
      <c r="C70" s="5" t="s">
        <v>66</v>
      </c>
      <c r="D70" s="204">
        <f>D64*SIN(G60*PI()/180)</f>
        <v>532.04131046786961</v>
      </c>
      <c r="E70" s="5">
        <f>-G33/2</f>
        <v>-0.6</v>
      </c>
      <c r="F70" s="204">
        <f>D70*E70</f>
        <v>-319.22478628072173</v>
      </c>
      <c r="G70" s="4"/>
      <c r="H70" s="4"/>
      <c r="I70" s="4"/>
      <c r="J70" s="4"/>
      <c r="K70" s="4"/>
      <c r="L70" s="4"/>
    </row>
    <row r="71" spans="1:15" x14ac:dyDescent="0.25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</row>
    <row r="72" spans="1:15" x14ac:dyDescent="0.25">
      <c r="A72" s="224" t="s">
        <v>79</v>
      </c>
      <c r="B72" s="224"/>
      <c r="C72" s="224"/>
      <c r="D72" s="6"/>
      <c r="E72" s="4"/>
      <c r="F72" s="4"/>
      <c r="G72" s="4"/>
      <c r="H72" s="4"/>
      <c r="I72" s="4"/>
      <c r="J72" s="4"/>
      <c r="K72" s="4"/>
      <c r="L72" s="4"/>
    </row>
    <row r="73" spans="1:15" x14ac:dyDescent="0.25">
      <c r="A73" s="6"/>
      <c r="B73" s="6"/>
      <c r="C73" s="6"/>
      <c r="D73" s="6"/>
      <c r="E73" s="4"/>
      <c r="F73" s="4" t="s">
        <v>83</v>
      </c>
      <c r="G73" s="4" t="s">
        <v>84</v>
      </c>
      <c r="H73" s="4" t="s">
        <v>85</v>
      </c>
      <c r="I73" s="4"/>
      <c r="J73" s="4"/>
      <c r="K73" s="4"/>
      <c r="L73" s="4"/>
    </row>
    <row r="74" spans="1:15" x14ac:dyDescent="0.25">
      <c r="A74" s="1"/>
      <c r="B74" s="238" t="s">
        <v>80</v>
      </c>
      <c r="C74" s="238"/>
      <c r="D74" s="1">
        <v>1000</v>
      </c>
      <c r="E74" s="54" t="s">
        <v>81</v>
      </c>
      <c r="F74" s="4">
        <v>1</v>
      </c>
      <c r="G74" s="4">
        <v>0.2</v>
      </c>
      <c r="H74" s="4">
        <f>G74*F74*D74</f>
        <v>200</v>
      </c>
      <c r="I74" s="135"/>
      <c r="J74" s="135"/>
      <c r="K74" s="135"/>
      <c r="L74" s="135"/>
      <c r="M74" s="135"/>
      <c r="N74" s="135"/>
      <c r="O74" s="135"/>
    </row>
    <row r="75" spans="1:15" x14ac:dyDescent="0.25">
      <c r="A75" s="4"/>
      <c r="B75" s="239" t="s">
        <v>82</v>
      </c>
      <c r="C75" s="239"/>
      <c r="D75" s="4">
        <v>554</v>
      </c>
      <c r="E75" s="54" t="s">
        <v>81</v>
      </c>
      <c r="F75" s="4">
        <v>1</v>
      </c>
      <c r="G75" s="4">
        <v>0.2</v>
      </c>
      <c r="H75" s="4">
        <f>G75*F75*D75</f>
        <v>110.80000000000001</v>
      </c>
      <c r="I75" s="135"/>
      <c r="J75" s="135"/>
      <c r="K75" s="135"/>
      <c r="L75" s="135"/>
      <c r="M75" s="135"/>
      <c r="N75" s="135"/>
      <c r="O75" s="135"/>
    </row>
    <row r="76" spans="1:15" x14ac:dyDescent="0.25">
      <c r="A76" s="4"/>
      <c r="B76" s="4"/>
      <c r="C76" s="4"/>
      <c r="D76" s="4"/>
      <c r="E76" s="4"/>
      <c r="F76" s="4"/>
      <c r="G76" s="4"/>
      <c r="H76" s="4"/>
      <c r="I76" s="4"/>
    </row>
    <row r="77" spans="1:15" x14ac:dyDescent="0.25">
      <c r="A77" s="239" t="s">
        <v>86</v>
      </c>
      <c r="B77" s="239"/>
      <c r="C77" s="239"/>
      <c r="D77" s="4">
        <v>1.2</v>
      </c>
      <c r="E77" s="4" t="s">
        <v>87</v>
      </c>
      <c r="F77" s="4"/>
      <c r="G77" s="4"/>
      <c r="H77" s="4"/>
      <c r="I77" s="4"/>
    </row>
    <row r="78" spans="1:15" x14ac:dyDescent="0.25">
      <c r="A78" s="4"/>
      <c r="B78" s="4"/>
      <c r="C78" s="4"/>
      <c r="D78" s="4"/>
      <c r="F78" s="53" t="s">
        <v>90</v>
      </c>
      <c r="G78" s="4"/>
      <c r="H78" s="4" t="s">
        <v>40</v>
      </c>
    </row>
    <row r="79" spans="1:15" ht="16.2" x14ac:dyDescent="0.25">
      <c r="A79" s="4"/>
      <c r="B79" s="239" t="s">
        <v>89</v>
      </c>
      <c r="C79" s="239"/>
      <c r="D79" s="4">
        <f>H74</f>
        <v>200</v>
      </c>
      <c r="E79" t="s">
        <v>81</v>
      </c>
      <c r="F79" s="56">
        <f>G22-G18-G19</f>
        <v>4.976</v>
      </c>
      <c r="G79" t="s">
        <v>19</v>
      </c>
      <c r="H79" s="4">
        <f>D79*F79</f>
        <v>995.2</v>
      </c>
      <c r="I79" s="4" t="s">
        <v>336</v>
      </c>
    </row>
    <row r="80" spans="1:15" x14ac:dyDescent="0.25">
      <c r="A80" s="4"/>
      <c r="B80" s="4"/>
      <c r="C80" s="4"/>
      <c r="D80" s="4"/>
      <c r="E80" s="4"/>
      <c r="F80" s="4"/>
      <c r="G80" s="4"/>
      <c r="H80" s="4"/>
      <c r="I80" s="4"/>
    </row>
    <row r="81" spans="1:11" ht="15" x14ac:dyDescent="0.25">
      <c r="A81" s="4"/>
      <c r="B81" s="239"/>
      <c r="C81" s="239"/>
      <c r="D81" s="4"/>
      <c r="E81" s="55"/>
      <c r="F81" s="4"/>
      <c r="G81" s="4"/>
      <c r="H81" s="4"/>
      <c r="I81" s="4"/>
      <c r="K81" s="4"/>
    </row>
    <row r="82" spans="1:11" x14ac:dyDescent="0.25">
      <c r="A82" s="216" t="s">
        <v>91</v>
      </c>
      <c r="B82" s="216"/>
      <c r="C82" s="216"/>
    </row>
    <row r="84" spans="1:11" x14ac:dyDescent="0.25">
      <c r="B84" s="217" t="s">
        <v>92</v>
      </c>
      <c r="C84" s="217"/>
      <c r="D84">
        <v>30</v>
      </c>
      <c r="E84" t="s">
        <v>93</v>
      </c>
    </row>
    <row r="85" spans="1:11" x14ac:dyDescent="0.25">
      <c r="A85" s="217" t="s">
        <v>94</v>
      </c>
      <c r="B85" s="217"/>
      <c r="C85" s="217"/>
      <c r="D85">
        <f>12*10^-6</f>
        <v>1.2E-5</v>
      </c>
    </row>
    <row r="86" spans="1:11" x14ac:dyDescent="0.25">
      <c r="B86" s="217" t="s">
        <v>95</v>
      </c>
      <c r="C86" s="217"/>
      <c r="D86">
        <v>30</v>
      </c>
      <c r="E86" t="s">
        <v>19</v>
      </c>
    </row>
    <row r="87" spans="1:11" x14ac:dyDescent="0.25">
      <c r="A87" s="217" t="s">
        <v>96</v>
      </c>
      <c r="B87" s="217"/>
      <c r="C87" s="217"/>
      <c r="D87">
        <f>2*10^-4</f>
        <v>2.0000000000000001E-4</v>
      </c>
    </row>
    <row r="88" spans="1:11" x14ac:dyDescent="0.25">
      <c r="A88" s="217" t="s">
        <v>97</v>
      </c>
      <c r="B88" s="217"/>
      <c r="C88" s="217"/>
      <c r="D88">
        <f>D85*D84*D86</f>
        <v>1.0800000000000001E-2</v>
      </c>
    </row>
    <row r="89" spans="1:11" x14ac:dyDescent="0.25">
      <c r="A89" s="217" t="s">
        <v>98</v>
      </c>
      <c r="B89" s="217"/>
      <c r="C89" s="217"/>
      <c r="D89">
        <f>D87*D86</f>
        <v>6.0000000000000001E-3</v>
      </c>
    </row>
    <row r="90" spans="1:11" x14ac:dyDescent="0.25">
      <c r="A90" s="217" t="s">
        <v>99</v>
      </c>
      <c r="B90" s="217"/>
      <c r="C90" s="217"/>
      <c r="D90">
        <f>(D88+D89)/2</f>
        <v>8.4000000000000012E-3</v>
      </c>
    </row>
    <row r="91" spans="1:11" ht="16.2" x14ac:dyDescent="0.25">
      <c r="A91" s="217" t="s">
        <v>100</v>
      </c>
      <c r="B91" s="217"/>
      <c r="C91" s="217"/>
      <c r="D91">
        <v>1000</v>
      </c>
      <c r="E91" t="s">
        <v>101</v>
      </c>
    </row>
    <row r="92" spans="1:11" x14ac:dyDescent="0.25">
      <c r="A92" s="217" t="s">
        <v>106</v>
      </c>
      <c r="B92" s="217"/>
      <c r="C92" s="217"/>
      <c r="D92">
        <v>1.1000000000000001</v>
      </c>
    </row>
    <row r="93" spans="1:11" ht="16.2" x14ac:dyDescent="0.25">
      <c r="B93" s="217" t="s">
        <v>102</v>
      </c>
      <c r="C93" s="217"/>
      <c r="D93">
        <f>0.5*0.35</f>
        <v>0.17499999999999999</v>
      </c>
      <c r="E93" t="s">
        <v>107</v>
      </c>
    </row>
    <row r="94" spans="1:11" x14ac:dyDescent="0.25">
      <c r="B94" s="52" t="s">
        <v>103</v>
      </c>
      <c r="C94" s="52"/>
      <c r="D94">
        <v>6.4000000000000001E-2</v>
      </c>
      <c r="E94" t="s">
        <v>19</v>
      </c>
    </row>
    <row r="95" spans="1:11" x14ac:dyDescent="0.25">
      <c r="A95" s="217" t="s">
        <v>104</v>
      </c>
      <c r="B95" s="217"/>
      <c r="C95" s="217"/>
      <c r="D95">
        <v>3</v>
      </c>
    </row>
    <row r="96" spans="1:11" x14ac:dyDescent="0.25">
      <c r="B96" s="217" t="s">
        <v>85</v>
      </c>
      <c r="C96" s="217"/>
      <c r="D96">
        <f>D92*D91*(D93/D94)*D90</f>
        <v>25.265625</v>
      </c>
      <c r="E96" t="s">
        <v>81</v>
      </c>
    </row>
    <row r="97" spans="1:9" x14ac:dyDescent="0.25">
      <c r="A97" s="217" t="s">
        <v>105</v>
      </c>
      <c r="B97" s="217"/>
      <c r="C97" s="217"/>
      <c r="D97" s="57">
        <f>D96*D95</f>
        <v>75.796875</v>
      </c>
      <c r="E97" t="s">
        <v>81</v>
      </c>
      <c r="F97" s="58">
        <f>G26+G25+G19</f>
        <v>5.1150000000000002</v>
      </c>
      <c r="G97" t="s">
        <v>173</v>
      </c>
      <c r="H97">
        <f>D97*F97</f>
        <v>387.70101562500003</v>
      </c>
      <c r="I97" t="s">
        <v>336</v>
      </c>
    </row>
    <row r="100" spans="1:9" x14ac:dyDescent="0.25">
      <c r="A100" s="216" t="s">
        <v>110</v>
      </c>
      <c r="B100" s="216"/>
      <c r="C100" s="216"/>
    </row>
    <row r="102" spans="1:9" ht="16.2" x14ac:dyDescent="0.35">
      <c r="C102" s="52" t="s">
        <v>111</v>
      </c>
      <c r="D102" s="58">
        <f>D61</f>
        <v>0.24448669401704909</v>
      </c>
    </row>
    <row r="103" spans="1:9" x14ac:dyDescent="0.25">
      <c r="C103" s="52" t="s">
        <v>53</v>
      </c>
      <c r="D103">
        <v>1.2</v>
      </c>
      <c r="E103" t="s">
        <v>19</v>
      </c>
    </row>
    <row r="104" spans="1:9" ht="16.2" x14ac:dyDescent="0.25">
      <c r="C104" s="30" t="s">
        <v>52</v>
      </c>
      <c r="D104">
        <v>20</v>
      </c>
      <c r="E104" t="s">
        <v>112</v>
      </c>
    </row>
    <row r="106" spans="1:9" x14ac:dyDescent="0.25">
      <c r="B106" s="217" t="s">
        <v>113</v>
      </c>
      <c r="C106" s="217"/>
      <c r="D106">
        <f>D102*D103*D104</f>
        <v>5.8676806564091777</v>
      </c>
    </row>
    <row r="107" spans="1:9" x14ac:dyDescent="0.25">
      <c r="B107" s="217" t="s">
        <v>85</v>
      </c>
      <c r="C107" s="217"/>
      <c r="D107">
        <f>D106*G32*D62</f>
        <v>464.07486311540191</v>
      </c>
      <c r="E107">
        <f>G22/2</f>
        <v>3.7450000000000001</v>
      </c>
      <c r="F107">
        <f>D107*E107</f>
        <v>1737.9603623671801</v>
      </c>
      <c r="G107" t="s">
        <v>145</v>
      </c>
    </row>
    <row r="108" spans="1:9" x14ac:dyDescent="0.25">
      <c r="B108" s="217"/>
      <c r="C108" s="217"/>
    </row>
    <row r="109" spans="1:9" x14ac:dyDescent="0.25">
      <c r="B109" s="217"/>
      <c r="C109" s="217"/>
    </row>
    <row r="110" spans="1:9" x14ac:dyDescent="0.25">
      <c r="B110" s="217"/>
      <c r="C110" s="217"/>
    </row>
    <row r="113" spans="1:12" x14ac:dyDescent="0.25">
      <c r="A113" s="216" t="s">
        <v>114</v>
      </c>
      <c r="B113" s="216"/>
      <c r="C113" s="216"/>
    </row>
    <row r="115" spans="1:12" x14ac:dyDescent="0.25">
      <c r="C115" t="s">
        <v>115</v>
      </c>
      <c r="D115">
        <v>0.36</v>
      </c>
      <c r="E115" t="s">
        <v>116</v>
      </c>
      <c r="F115">
        <v>1</v>
      </c>
      <c r="H115" t="s">
        <v>117</v>
      </c>
      <c r="I115">
        <v>3</v>
      </c>
    </row>
    <row r="116" spans="1:12" x14ac:dyDescent="0.25">
      <c r="C116" t="s">
        <v>118</v>
      </c>
      <c r="D116">
        <f>D115/2 *F115*F116</f>
        <v>0.44999999999999996</v>
      </c>
      <c r="E116" t="s">
        <v>119</v>
      </c>
      <c r="F116">
        <v>2.5</v>
      </c>
    </row>
    <row r="117" spans="1:12" x14ac:dyDescent="0.25">
      <c r="C117" t="s">
        <v>120</v>
      </c>
      <c r="D117">
        <f>D116/I115</f>
        <v>0.15</v>
      </c>
    </row>
    <row r="120" spans="1:12" x14ac:dyDescent="0.25">
      <c r="C120" s="240" t="s">
        <v>121</v>
      </c>
      <c r="D120" s="240"/>
      <c r="E120" s="66"/>
      <c r="F120" s="66"/>
      <c r="G120" s="66"/>
      <c r="H120" s="66"/>
    </row>
    <row r="121" spans="1:12" x14ac:dyDescent="0.25">
      <c r="C121" s="242" t="s">
        <v>562</v>
      </c>
      <c r="D121" s="243"/>
      <c r="E121" s="65" t="s">
        <v>123</v>
      </c>
      <c r="F121" s="65" t="s">
        <v>124</v>
      </c>
      <c r="G121" s="77" t="s">
        <v>563</v>
      </c>
      <c r="H121" s="65" t="s">
        <v>40</v>
      </c>
      <c r="I121" s="59"/>
      <c r="J121" s="59"/>
      <c r="K121" s="60"/>
      <c r="L121" s="59"/>
    </row>
    <row r="122" spans="1:12" x14ac:dyDescent="0.25">
      <c r="C122" s="67"/>
      <c r="D122" s="65" t="s">
        <v>62</v>
      </c>
      <c r="E122" s="61">
        <f>D44</f>
        <v>1353.33</v>
      </c>
      <c r="F122" s="78">
        <f>E122*$D$117</f>
        <v>202.99949999999998</v>
      </c>
      <c r="G122" s="78">
        <f>G26/2</f>
        <v>2.0505</v>
      </c>
      <c r="H122" s="138">
        <f>F122*G122</f>
        <v>416.25047474999997</v>
      </c>
    </row>
    <row r="123" spans="1:12" x14ac:dyDescent="0.25">
      <c r="C123" s="65"/>
      <c r="D123" s="65" t="s">
        <v>41</v>
      </c>
      <c r="E123" s="61">
        <f>D45</f>
        <v>352.00000000000006</v>
      </c>
      <c r="F123" s="66">
        <f>E123*$D$117</f>
        <v>52.800000000000004</v>
      </c>
      <c r="G123" s="66">
        <f>G26+G25/2</f>
        <v>4.5010000000000003</v>
      </c>
      <c r="H123" s="138">
        <f t="shared" ref="H123:H124" si="1">F123*G123</f>
        <v>237.65280000000004</v>
      </c>
    </row>
    <row r="124" spans="1:12" x14ac:dyDescent="0.25">
      <c r="C124" s="65"/>
      <c r="D124" s="65" t="s">
        <v>122</v>
      </c>
      <c r="E124" s="65">
        <f>D46</f>
        <v>213.59249999999997</v>
      </c>
      <c r="F124" s="78">
        <f>E124*$D$117</f>
        <v>32.038874999999997</v>
      </c>
      <c r="G124" s="78">
        <f>G26+G25+G24/2</f>
        <v>6.1955</v>
      </c>
      <c r="H124" s="138">
        <f t="shared" si="1"/>
        <v>198.49685006249999</v>
      </c>
    </row>
    <row r="125" spans="1:12" x14ac:dyDescent="0.25">
      <c r="C125" s="59"/>
      <c r="D125" s="62"/>
      <c r="E125" s="62"/>
    </row>
    <row r="126" spans="1:12" x14ac:dyDescent="0.25">
      <c r="C126" s="59"/>
      <c r="D126" s="62"/>
      <c r="E126" s="62"/>
      <c r="F126" s="136">
        <f>SUM(F122:F124)</f>
        <v>287.83837499999998</v>
      </c>
      <c r="H126" s="74">
        <f>SUM(H122:H124)</f>
        <v>852.40012481250005</v>
      </c>
    </row>
    <row r="127" spans="1:12" x14ac:dyDescent="0.25">
      <c r="C127" s="59"/>
      <c r="D127" s="62"/>
      <c r="E127" s="62"/>
    </row>
    <row r="128" spans="1:12" x14ac:dyDescent="0.25">
      <c r="C128" s="59"/>
      <c r="D128" s="62"/>
      <c r="E128" s="62"/>
    </row>
    <row r="129" spans="3:12" x14ac:dyDescent="0.25">
      <c r="C129" s="241" t="s">
        <v>126</v>
      </c>
      <c r="D129" s="241"/>
      <c r="E129" s="64">
        <f>D8</f>
        <v>2237.0645</v>
      </c>
      <c r="F129" s="70">
        <f>E129*D117</f>
        <v>335.55967499999997</v>
      </c>
      <c r="G129" s="70">
        <f>G22-G18/3 -G23</f>
        <v>6.6483333333333334</v>
      </c>
      <c r="H129" s="70">
        <f>F129*G129</f>
        <v>2230.9125726249999</v>
      </c>
    </row>
    <row r="130" spans="3:12" x14ac:dyDescent="0.25">
      <c r="C130" s="59"/>
      <c r="D130" s="62"/>
      <c r="E130" s="62"/>
    </row>
    <row r="131" spans="3:12" x14ac:dyDescent="0.25">
      <c r="C131" s="59"/>
      <c r="D131" s="62"/>
      <c r="E131" s="246" t="s">
        <v>147</v>
      </c>
      <c r="F131" s="246"/>
      <c r="G131" s="246"/>
    </row>
    <row r="132" spans="3:12" x14ac:dyDescent="0.25">
      <c r="C132" s="241" t="s">
        <v>127</v>
      </c>
      <c r="D132" s="241"/>
      <c r="E132" s="62"/>
    </row>
    <row r="133" spans="3:12" x14ac:dyDescent="0.25">
      <c r="E133" s="62"/>
    </row>
    <row r="134" spans="3:12" x14ac:dyDescent="0.25">
      <c r="C134" s="59"/>
      <c r="D134" s="59" t="s">
        <v>128</v>
      </c>
      <c r="E134" s="59">
        <f>D117</f>
        <v>0.15</v>
      </c>
      <c r="F134" s="59"/>
      <c r="G134" s="72" t="s">
        <v>133</v>
      </c>
      <c r="H134" s="63">
        <v>0</v>
      </c>
      <c r="I134" s="64"/>
      <c r="J134" s="59"/>
      <c r="K134" s="62"/>
      <c r="L134" s="62"/>
    </row>
    <row r="135" spans="3:12" x14ac:dyDescent="0.25">
      <c r="D135" t="s">
        <v>129</v>
      </c>
      <c r="E135">
        <f>2/3 *E134</f>
        <v>9.9999999999999992E-2</v>
      </c>
      <c r="G135" s="73" t="s">
        <v>134</v>
      </c>
      <c r="H135" s="69">
        <v>0</v>
      </c>
    </row>
    <row r="136" spans="3:12" x14ac:dyDescent="0.25">
      <c r="D136" s="71" t="s">
        <v>130</v>
      </c>
      <c r="E136" s="58">
        <f>MAX(ATAN(E134/(1-E135)),ATAN(E134/(1+E135)))</f>
        <v>0.16514867741462683</v>
      </c>
      <c r="F136" t="s">
        <v>132</v>
      </c>
      <c r="G136" s="73" t="s">
        <v>135</v>
      </c>
      <c r="H136" s="68">
        <f>G60</f>
        <v>22.5</v>
      </c>
    </row>
    <row r="137" spans="3:12" x14ac:dyDescent="0.25">
      <c r="G137" s="73" t="s">
        <v>136</v>
      </c>
      <c r="H137">
        <f>D59</f>
        <v>35</v>
      </c>
    </row>
    <row r="138" spans="3:12" ht="16.2" x14ac:dyDescent="0.25">
      <c r="G138" s="73" t="s">
        <v>137</v>
      </c>
      <c r="H138" s="70">
        <f>G61</f>
        <v>20</v>
      </c>
      <c r="I138" t="s">
        <v>138</v>
      </c>
    </row>
    <row r="139" spans="3:12" x14ac:dyDescent="0.25">
      <c r="D139" t="s">
        <v>131</v>
      </c>
      <c r="E139" s="74">
        <f>(1+E135)*findcaeq(H137,E136,H134,H136,H135)</f>
        <v>0.39088809508659333</v>
      </c>
    </row>
    <row r="141" spans="3:12" x14ac:dyDescent="0.25">
      <c r="D141" t="s">
        <v>139</v>
      </c>
      <c r="E141" s="58">
        <f>E139-D61</f>
        <v>0.14640140106954425</v>
      </c>
      <c r="G141" s="75" t="s">
        <v>142</v>
      </c>
      <c r="H141" s="70">
        <f>D62</f>
        <v>7.19</v>
      </c>
      <c r="I141" t="s">
        <v>19</v>
      </c>
    </row>
    <row r="143" spans="3:12" ht="16.2" x14ac:dyDescent="0.25">
      <c r="C143" s="217" t="s">
        <v>140</v>
      </c>
      <c r="D143" s="217"/>
      <c r="E143" s="70">
        <f>E141*H138*D62</f>
        <v>21.052521473800464</v>
      </c>
      <c r="F143" t="s">
        <v>112</v>
      </c>
      <c r="G143" s="52" t="s">
        <v>143</v>
      </c>
      <c r="H143" s="70">
        <f>G32</f>
        <v>11</v>
      </c>
      <c r="I143" t="s">
        <v>19</v>
      </c>
    </row>
    <row r="145" spans="1:12" x14ac:dyDescent="0.25">
      <c r="B145" s="217" t="s">
        <v>141</v>
      </c>
      <c r="C145" s="217"/>
      <c r="D145" s="217"/>
      <c r="E145" s="205">
        <f>1/2*E143*H141*H143</f>
        <v>832.52196168143939</v>
      </c>
      <c r="F145" t="s">
        <v>81</v>
      </c>
      <c r="G145">
        <f>H141/2</f>
        <v>3.5950000000000002</v>
      </c>
      <c r="H145" t="s">
        <v>144</v>
      </c>
      <c r="I145" s="76">
        <f>E145*G145</f>
        <v>2992.916452244775</v>
      </c>
      <c r="J145" t="s">
        <v>336</v>
      </c>
    </row>
    <row r="148" spans="1:12" x14ac:dyDescent="0.25">
      <c r="C148" s="217" t="s">
        <v>146</v>
      </c>
      <c r="D148" s="217"/>
    </row>
    <row r="150" spans="1:12" x14ac:dyDescent="0.25">
      <c r="D150" t="s">
        <v>85</v>
      </c>
      <c r="E150" s="136">
        <f>H138 *E141*H141*H143*D103</f>
        <v>277.89328345416612</v>
      </c>
      <c r="F150" t="s">
        <v>81</v>
      </c>
      <c r="G150">
        <f>G22/2</f>
        <v>3.7450000000000001</v>
      </c>
      <c r="H150" t="s">
        <v>144</v>
      </c>
      <c r="I150" s="57">
        <f>E150*G150</f>
        <v>1040.7103465358521</v>
      </c>
      <c r="J150" t="s">
        <v>336</v>
      </c>
    </row>
    <row r="157" spans="1:12" x14ac:dyDescent="0.25">
      <c r="C157" s="79"/>
      <c r="D157" s="79"/>
      <c r="E157" s="79"/>
      <c r="F157" s="80"/>
      <c r="G157" s="79"/>
      <c r="H157" s="79"/>
      <c r="I157" s="79"/>
      <c r="J157" s="79"/>
      <c r="K157" s="80"/>
      <c r="L157" s="79"/>
    </row>
    <row r="158" spans="1:12" x14ac:dyDescent="0.25">
      <c r="A158" s="220" t="s">
        <v>148</v>
      </c>
      <c r="B158" s="220"/>
      <c r="E158" s="79"/>
      <c r="F158" s="79"/>
      <c r="G158" s="60" t="s">
        <v>2</v>
      </c>
      <c r="H158" s="79"/>
      <c r="I158" s="79"/>
      <c r="J158" s="79"/>
      <c r="K158" s="79"/>
      <c r="L158" s="79"/>
    </row>
    <row r="159" spans="1:12" x14ac:dyDescent="0.25">
      <c r="C159" s="79"/>
      <c r="D159" s="59"/>
      <c r="E159" s="59"/>
      <c r="F159" s="215" t="s">
        <v>149</v>
      </c>
      <c r="G159" s="215"/>
      <c r="H159" s="213" t="s">
        <v>150</v>
      </c>
      <c r="I159" s="59"/>
      <c r="J159" s="221" t="s">
        <v>151</v>
      </c>
      <c r="K159" s="221"/>
      <c r="L159" s="79"/>
    </row>
    <row r="160" spans="1:12" x14ac:dyDescent="0.25">
      <c r="C160" s="79"/>
      <c r="D160" s="59"/>
      <c r="E160" s="59"/>
      <c r="F160" s="81" t="s">
        <v>152</v>
      </c>
      <c r="G160" s="81" t="s">
        <v>153</v>
      </c>
      <c r="H160" s="213"/>
      <c r="I160" s="59"/>
      <c r="J160" s="77" t="s">
        <v>154</v>
      </c>
      <c r="K160" s="77" t="s">
        <v>155</v>
      </c>
      <c r="L160" s="79"/>
    </row>
    <row r="161" spans="3:12" x14ac:dyDescent="0.25">
      <c r="C161" s="79"/>
      <c r="D161" s="59"/>
      <c r="E161" s="63" t="s">
        <v>156</v>
      </c>
      <c r="F161" s="82">
        <f>D47</f>
        <v>1918.9224999999999</v>
      </c>
      <c r="G161" s="82">
        <v>0</v>
      </c>
      <c r="H161" s="82">
        <f>F47</f>
        <v>-100.47399999999993</v>
      </c>
      <c r="I161" s="59"/>
      <c r="J161" s="61">
        <v>1</v>
      </c>
      <c r="K161" s="65">
        <v>1</v>
      </c>
      <c r="L161" s="80"/>
    </row>
    <row r="162" spans="3:12" x14ac:dyDescent="0.25">
      <c r="C162" s="79"/>
      <c r="D162" s="59"/>
      <c r="E162" s="63" t="s">
        <v>157</v>
      </c>
      <c r="F162" s="82">
        <f>D54</f>
        <v>1989.5645</v>
      </c>
      <c r="G162" s="82"/>
      <c r="H162" s="82">
        <f>F54</f>
        <v>0</v>
      </c>
      <c r="I162" s="59"/>
      <c r="J162" s="61">
        <v>1</v>
      </c>
      <c r="K162" s="65">
        <v>1</v>
      </c>
      <c r="L162" s="80"/>
    </row>
    <row r="163" spans="3:12" x14ac:dyDescent="0.25">
      <c r="C163" s="79"/>
      <c r="D163" s="59"/>
      <c r="E163" s="63" t="s">
        <v>158</v>
      </c>
      <c r="F163" s="82">
        <f>D55</f>
        <v>247.5</v>
      </c>
      <c r="G163" s="82"/>
      <c r="H163" s="82">
        <f>F55</f>
        <v>0</v>
      </c>
      <c r="I163" s="59"/>
      <c r="J163" s="61">
        <v>1</v>
      </c>
      <c r="K163" s="65">
        <v>1</v>
      </c>
      <c r="L163" s="80"/>
    </row>
    <row r="164" spans="3:12" x14ac:dyDescent="0.25">
      <c r="C164" s="79"/>
      <c r="D164" s="59"/>
      <c r="E164" s="63" t="s">
        <v>159</v>
      </c>
      <c r="F164" s="82">
        <f>D56</f>
        <v>803.32400000000007</v>
      </c>
      <c r="G164" s="82"/>
      <c r="H164" s="82">
        <f>F56</f>
        <v>0</v>
      </c>
      <c r="I164" s="59"/>
      <c r="J164" s="61">
        <v>0</v>
      </c>
      <c r="K164" s="61">
        <v>0</v>
      </c>
      <c r="L164" s="80"/>
    </row>
    <row r="165" spans="3:12" x14ac:dyDescent="0.25">
      <c r="C165" s="79"/>
      <c r="D165" s="59"/>
      <c r="E165" s="63" t="s">
        <v>160</v>
      </c>
      <c r="F165" s="82"/>
      <c r="G165" s="82">
        <f>D69</f>
        <v>1284.4613474742855</v>
      </c>
      <c r="H165" s="82">
        <f>F69</f>
        <v>3878.8163771028476</v>
      </c>
      <c r="I165" s="62"/>
      <c r="J165" s="61">
        <v>1.5</v>
      </c>
      <c r="K165" s="61">
        <v>1</v>
      </c>
      <c r="L165" s="80"/>
    </row>
    <row r="166" spans="3:12" x14ac:dyDescent="0.25">
      <c r="C166" s="79"/>
      <c r="D166" s="59"/>
      <c r="E166" s="63" t="s">
        <v>161</v>
      </c>
      <c r="F166" s="82">
        <f>D70</f>
        <v>532.04131046786961</v>
      </c>
      <c r="G166" s="82"/>
      <c r="H166" s="82">
        <f>F70</f>
        <v>-319.22478628072173</v>
      </c>
      <c r="I166" s="59"/>
      <c r="J166" s="61">
        <v>1</v>
      </c>
      <c r="K166" s="61">
        <v>1</v>
      </c>
      <c r="L166" s="80"/>
    </row>
    <row r="167" spans="3:12" x14ac:dyDescent="0.25">
      <c r="C167" s="79"/>
      <c r="D167" s="59"/>
      <c r="E167" s="63" t="s">
        <v>162</v>
      </c>
      <c r="F167" s="82"/>
      <c r="G167" s="82">
        <f>D107</f>
        <v>464.07486311540191</v>
      </c>
      <c r="H167" s="82">
        <f>F107</f>
        <v>1737.9603623671801</v>
      </c>
      <c r="I167" s="62"/>
      <c r="J167" s="61">
        <v>1.2</v>
      </c>
      <c r="K167" s="61">
        <v>0.2</v>
      </c>
      <c r="L167" s="80"/>
    </row>
    <row r="168" spans="3:12" x14ac:dyDescent="0.25">
      <c r="C168" s="79"/>
      <c r="D168" s="59"/>
      <c r="E168" s="63" t="s">
        <v>163</v>
      </c>
      <c r="F168" s="82"/>
      <c r="G168" s="82">
        <f>D79</f>
        <v>200</v>
      </c>
      <c r="H168" s="82">
        <f>H79</f>
        <v>995.2</v>
      </c>
      <c r="I168" s="62"/>
      <c r="J168" s="61">
        <v>1.5</v>
      </c>
      <c r="K168" s="61">
        <v>0.2</v>
      </c>
      <c r="L168" s="80"/>
    </row>
    <row r="169" spans="3:12" x14ac:dyDescent="0.25">
      <c r="C169" s="79"/>
      <c r="D169" s="59"/>
      <c r="E169" s="63" t="s">
        <v>164</v>
      </c>
      <c r="F169" s="82"/>
      <c r="G169" s="82">
        <f>D97</f>
        <v>75.796875</v>
      </c>
      <c r="H169" s="82">
        <f>H97</f>
        <v>387.70101562500003</v>
      </c>
      <c r="I169" s="62"/>
      <c r="J169" s="61">
        <v>0.9</v>
      </c>
      <c r="K169" s="61">
        <v>0.5</v>
      </c>
      <c r="L169" s="80"/>
    </row>
    <row r="170" spans="3:12" x14ac:dyDescent="0.25">
      <c r="C170" s="79"/>
      <c r="D170" s="59"/>
      <c r="E170" s="59"/>
      <c r="F170" s="214" t="s">
        <v>165</v>
      </c>
      <c r="G170" s="214"/>
      <c r="H170" s="214"/>
      <c r="I170" s="62"/>
      <c r="J170" s="64"/>
      <c r="K170" s="64"/>
      <c r="L170" s="80"/>
    </row>
    <row r="171" spans="3:12" x14ac:dyDescent="0.25">
      <c r="C171" s="79"/>
      <c r="D171" s="59"/>
      <c r="E171" s="63" t="s">
        <v>166</v>
      </c>
      <c r="F171" s="82"/>
      <c r="G171" s="82">
        <f>F129</f>
        <v>335.55967499999997</v>
      </c>
      <c r="H171" s="82">
        <f>H129</f>
        <v>2230.9125726249999</v>
      </c>
      <c r="I171" s="62"/>
      <c r="J171" s="61">
        <v>0</v>
      </c>
      <c r="K171" s="61">
        <v>1.5</v>
      </c>
      <c r="L171" s="80"/>
    </row>
    <row r="172" spans="3:12" x14ac:dyDescent="0.25">
      <c r="C172" s="79"/>
      <c r="D172" s="59"/>
      <c r="E172" s="63" t="s">
        <v>167</v>
      </c>
      <c r="F172" s="82"/>
      <c r="G172" s="82">
        <f>F126</f>
        <v>287.83837499999998</v>
      </c>
      <c r="H172" s="82">
        <f>I136</f>
        <v>0</v>
      </c>
      <c r="I172" s="62"/>
      <c r="J172" s="61">
        <v>0</v>
      </c>
      <c r="K172" s="61">
        <v>1.5</v>
      </c>
      <c r="L172" s="80"/>
    </row>
    <row r="173" spans="3:12" x14ac:dyDescent="0.25">
      <c r="C173" s="79"/>
      <c r="D173" s="59"/>
      <c r="E173" s="63" t="s">
        <v>168</v>
      </c>
      <c r="F173" s="82"/>
      <c r="G173" s="82">
        <f>E145</f>
        <v>832.52196168143939</v>
      </c>
      <c r="H173" s="82">
        <f>I145</f>
        <v>2992.916452244775</v>
      </c>
      <c r="I173" s="62"/>
      <c r="J173" s="61">
        <v>0</v>
      </c>
      <c r="K173" s="61">
        <v>1.5</v>
      </c>
      <c r="L173" s="80"/>
    </row>
    <row r="174" spans="3:12" x14ac:dyDescent="0.25">
      <c r="C174" s="79"/>
      <c r="D174" s="59"/>
      <c r="E174" s="63" t="s">
        <v>169</v>
      </c>
      <c r="F174" s="82"/>
      <c r="G174" s="82">
        <f>E150</f>
        <v>277.89328345416612</v>
      </c>
      <c r="H174" s="82">
        <f>I150</f>
        <v>1040.7103465358521</v>
      </c>
      <c r="I174" s="62"/>
      <c r="J174" s="61">
        <v>0</v>
      </c>
      <c r="K174" s="61">
        <v>1.5</v>
      </c>
      <c r="L174" s="80"/>
    </row>
    <row r="175" spans="3:12" x14ac:dyDescent="0.25">
      <c r="C175" s="79"/>
    </row>
    <row r="176" spans="3:12" x14ac:dyDescent="0.25">
      <c r="C176" s="79"/>
    </row>
    <row r="177" spans="3:14" x14ac:dyDescent="0.25">
      <c r="C177" s="79"/>
    </row>
    <row r="178" spans="3:14" x14ac:dyDescent="0.25">
      <c r="C178" s="79"/>
    </row>
    <row r="179" spans="3:14" x14ac:dyDescent="0.25">
      <c r="C179" s="79"/>
    </row>
    <row r="180" spans="3:14" x14ac:dyDescent="0.25">
      <c r="C180" s="79"/>
      <c r="E180" s="83"/>
      <c r="F180" s="83"/>
      <c r="G180" s="83"/>
      <c r="H180" s="83"/>
      <c r="I180" s="83"/>
      <c r="J180" s="83"/>
      <c r="K180" s="83"/>
      <c r="L180" s="83"/>
      <c r="M180" s="83"/>
      <c r="N180" s="83"/>
    </row>
    <row r="181" spans="3:14" x14ac:dyDescent="0.25">
      <c r="C181" s="79"/>
      <c r="E181" s="84"/>
      <c r="G181" s="223" t="s">
        <v>170</v>
      </c>
      <c r="H181" s="223"/>
      <c r="I181" s="223"/>
      <c r="J181" s="86"/>
      <c r="K181" s="85" t="s">
        <v>171</v>
      </c>
      <c r="L181" s="84"/>
      <c r="M181" s="86"/>
      <c r="N181" s="83"/>
    </row>
    <row r="182" spans="3:14" x14ac:dyDescent="0.25">
      <c r="C182" s="79"/>
      <c r="E182" s="84"/>
      <c r="F182" s="85"/>
      <c r="G182" s="222" t="s">
        <v>149</v>
      </c>
      <c r="H182" s="222"/>
      <c r="I182" s="219" t="s">
        <v>150</v>
      </c>
      <c r="J182" s="84"/>
      <c r="K182" s="222" t="s">
        <v>149</v>
      </c>
      <c r="L182" s="222"/>
      <c r="M182" s="219" t="s">
        <v>150</v>
      </c>
      <c r="N182" s="83"/>
    </row>
    <row r="183" spans="3:14" x14ac:dyDescent="0.25">
      <c r="C183" s="79"/>
      <c r="E183" s="84"/>
      <c r="F183" s="84"/>
      <c r="G183" s="87" t="s">
        <v>152</v>
      </c>
      <c r="H183" s="87" t="s">
        <v>153</v>
      </c>
      <c r="I183" s="219"/>
      <c r="J183" s="84"/>
      <c r="K183" s="87" t="s">
        <v>152</v>
      </c>
      <c r="L183" s="87" t="s">
        <v>153</v>
      </c>
      <c r="M183" s="219"/>
      <c r="N183" s="83"/>
    </row>
    <row r="184" spans="3:14" x14ac:dyDescent="0.25">
      <c r="C184" s="79"/>
      <c r="E184" s="84"/>
      <c r="F184" s="88" t="str">
        <f t="shared" ref="F184:F192" si="2">E161</f>
        <v>Abutment Self</v>
      </c>
      <c r="G184" s="89">
        <f>F161*$J161</f>
        <v>1918.9224999999999</v>
      </c>
      <c r="H184" s="89">
        <f>G161*$J161</f>
        <v>0</v>
      </c>
      <c r="I184" s="89">
        <f>H161*$J161</f>
        <v>-100.47399999999993</v>
      </c>
      <c r="J184" s="90"/>
      <c r="K184" s="89">
        <f>F161*$K161</f>
        <v>1918.9224999999999</v>
      </c>
      <c r="L184" s="89">
        <f>G161*$K161</f>
        <v>0</v>
      </c>
      <c r="M184" s="89">
        <f>H161*$K161</f>
        <v>-100.47399999999993</v>
      </c>
      <c r="N184" s="83"/>
    </row>
    <row r="185" spans="3:14" x14ac:dyDescent="0.25">
      <c r="C185" s="79"/>
      <c r="E185" s="84"/>
      <c r="F185" s="88" t="str">
        <f t="shared" si="2"/>
        <v>SS DL</v>
      </c>
      <c r="G185" s="89">
        <f t="shared" ref="G185:I192" si="3">F162*$J162</f>
        <v>1989.5645</v>
      </c>
      <c r="H185" s="89">
        <f t="shared" si="3"/>
        <v>0</v>
      </c>
      <c r="I185" s="89">
        <f t="shared" si="3"/>
        <v>0</v>
      </c>
      <c r="J185" s="84"/>
      <c r="K185" s="89">
        <f t="shared" ref="K185:K192" si="4">F162*$K162</f>
        <v>1989.5645</v>
      </c>
      <c r="L185" s="89">
        <f t="shared" ref="L185:L192" si="5">G162*$K162</f>
        <v>0</v>
      </c>
      <c r="M185" s="89">
        <f t="shared" ref="M185:M192" si="6">H162*$K162</f>
        <v>0</v>
      </c>
      <c r="N185" s="83"/>
    </row>
    <row r="186" spans="3:14" x14ac:dyDescent="0.25">
      <c r="C186" s="79"/>
      <c r="E186" s="84"/>
      <c r="F186" s="88" t="str">
        <f t="shared" si="2"/>
        <v>SS Surface</v>
      </c>
      <c r="G186" s="89">
        <f t="shared" si="3"/>
        <v>247.5</v>
      </c>
      <c r="H186" s="89">
        <f t="shared" si="3"/>
        <v>0</v>
      </c>
      <c r="I186" s="89">
        <f t="shared" si="3"/>
        <v>0</v>
      </c>
      <c r="J186" s="84"/>
      <c r="K186" s="89">
        <f t="shared" si="4"/>
        <v>247.5</v>
      </c>
      <c r="L186" s="89">
        <f t="shared" si="5"/>
        <v>0</v>
      </c>
      <c r="M186" s="89">
        <f t="shared" si="6"/>
        <v>0</v>
      </c>
      <c r="N186" s="83"/>
    </row>
    <row r="187" spans="3:14" x14ac:dyDescent="0.25">
      <c r="C187" s="79"/>
      <c r="E187" s="84"/>
      <c r="F187" s="88" t="str">
        <f t="shared" si="2"/>
        <v>SS LL</v>
      </c>
      <c r="G187" s="89">
        <f t="shared" si="3"/>
        <v>0</v>
      </c>
      <c r="H187" s="89">
        <f t="shared" si="3"/>
        <v>0</v>
      </c>
      <c r="I187" s="89">
        <f t="shared" si="3"/>
        <v>0</v>
      </c>
      <c r="J187" s="84"/>
      <c r="K187" s="89">
        <f t="shared" si="4"/>
        <v>0</v>
      </c>
      <c r="L187" s="89">
        <f t="shared" si="5"/>
        <v>0</v>
      </c>
      <c r="M187" s="89">
        <f t="shared" si="6"/>
        <v>0</v>
      </c>
      <c r="N187" s="83"/>
    </row>
    <row r="188" spans="3:14" x14ac:dyDescent="0.25">
      <c r="C188" s="79"/>
      <c r="E188" s="84"/>
      <c r="F188" s="88" t="str">
        <f t="shared" si="2"/>
        <v>EPH</v>
      </c>
      <c r="G188" s="89">
        <f t="shared" si="3"/>
        <v>0</v>
      </c>
      <c r="H188" s="89">
        <f t="shared" si="3"/>
        <v>1926.6920212114283</v>
      </c>
      <c r="I188" s="89">
        <f t="shared" si="3"/>
        <v>5818.2245656542709</v>
      </c>
      <c r="J188" s="84"/>
      <c r="K188" s="89">
        <f t="shared" si="4"/>
        <v>0</v>
      </c>
      <c r="L188" s="89">
        <f t="shared" si="5"/>
        <v>1284.4613474742855</v>
      </c>
      <c r="M188" s="89">
        <f t="shared" si="6"/>
        <v>3878.8163771028476</v>
      </c>
      <c r="N188" s="83"/>
    </row>
    <row r="189" spans="3:14" x14ac:dyDescent="0.25">
      <c r="C189" s="79"/>
      <c r="E189" s="84"/>
      <c r="F189" s="88" t="str">
        <f t="shared" si="2"/>
        <v>EPV</v>
      </c>
      <c r="G189" s="89">
        <f t="shared" si="3"/>
        <v>532.04131046786961</v>
      </c>
      <c r="H189" s="89">
        <f t="shared" si="3"/>
        <v>0</v>
      </c>
      <c r="I189" s="89">
        <f t="shared" si="3"/>
        <v>-319.22478628072173</v>
      </c>
      <c r="J189" s="84"/>
      <c r="K189" s="89">
        <f t="shared" si="4"/>
        <v>532.04131046786961</v>
      </c>
      <c r="L189" s="89">
        <f t="shared" si="5"/>
        <v>0</v>
      </c>
      <c r="M189" s="89">
        <f t="shared" si="6"/>
        <v>-319.22478628072173</v>
      </c>
      <c r="N189" s="83"/>
    </row>
    <row r="190" spans="3:14" x14ac:dyDescent="0.25">
      <c r="C190" s="79"/>
      <c r="E190" s="84"/>
      <c r="F190" s="88" t="str">
        <f t="shared" si="2"/>
        <v>LL Surcharge (H)</v>
      </c>
      <c r="G190" s="89">
        <f t="shared" si="3"/>
        <v>0</v>
      </c>
      <c r="H190" s="89">
        <f t="shared" si="3"/>
        <v>556.88983573848225</v>
      </c>
      <c r="I190" s="89">
        <f t="shared" si="3"/>
        <v>2085.5524348406161</v>
      </c>
      <c r="J190" s="84"/>
      <c r="K190" s="89">
        <f t="shared" si="4"/>
        <v>0</v>
      </c>
      <c r="L190" s="89">
        <f t="shared" si="5"/>
        <v>92.814972623080394</v>
      </c>
      <c r="M190" s="89">
        <f t="shared" si="6"/>
        <v>347.59207247343602</v>
      </c>
      <c r="N190" s="83"/>
    </row>
    <row r="191" spans="3:14" x14ac:dyDescent="0.25">
      <c r="C191" s="79"/>
      <c r="E191" s="84"/>
      <c r="F191" s="88" t="str">
        <f t="shared" si="2"/>
        <v>Braking</v>
      </c>
      <c r="G191" s="89">
        <f t="shared" si="3"/>
        <v>0</v>
      </c>
      <c r="H191" s="89">
        <f t="shared" si="3"/>
        <v>300</v>
      </c>
      <c r="I191" s="89">
        <f t="shared" si="3"/>
        <v>1492.8000000000002</v>
      </c>
      <c r="J191" s="84"/>
      <c r="K191" s="89">
        <f t="shared" si="4"/>
        <v>0</v>
      </c>
      <c r="L191" s="89">
        <f t="shared" si="5"/>
        <v>40</v>
      </c>
      <c r="M191" s="89">
        <f t="shared" si="6"/>
        <v>199.04000000000002</v>
      </c>
      <c r="N191" s="83"/>
    </row>
    <row r="192" spans="3:14" x14ac:dyDescent="0.25">
      <c r="C192" s="79"/>
      <c r="E192" s="84"/>
      <c r="F192" s="88" t="str">
        <f t="shared" si="2"/>
        <v>Temperature</v>
      </c>
      <c r="G192" s="89">
        <f t="shared" si="3"/>
        <v>0</v>
      </c>
      <c r="H192" s="89">
        <f t="shared" si="3"/>
        <v>68.217187500000009</v>
      </c>
      <c r="I192" s="89">
        <f t="shared" si="3"/>
        <v>348.93091406250005</v>
      </c>
      <c r="J192" s="84"/>
      <c r="K192" s="89">
        <f t="shared" si="4"/>
        <v>0</v>
      </c>
      <c r="L192" s="89">
        <f t="shared" si="5"/>
        <v>37.8984375</v>
      </c>
      <c r="M192" s="89">
        <f t="shared" si="6"/>
        <v>193.85050781250001</v>
      </c>
      <c r="N192" s="83"/>
    </row>
    <row r="193" spans="1:14" x14ac:dyDescent="0.25">
      <c r="E193" s="84"/>
      <c r="F193" s="84"/>
      <c r="G193" s="91" t="s">
        <v>174</v>
      </c>
      <c r="H193" s="92"/>
      <c r="I193" s="92"/>
      <c r="J193" s="84"/>
      <c r="K193" s="84"/>
      <c r="L193" s="84"/>
      <c r="M193" s="84"/>
      <c r="N193" s="83"/>
    </row>
    <row r="194" spans="1:14" x14ac:dyDescent="0.25">
      <c r="E194" s="84"/>
      <c r="F194" s="88" t="str">
        <f>E171</f>
        <v>Superstr. DL</v>
      </c>
      <c r="G194" s="89">
        <f>F171*$J171</f>
        <v>0</v>
      </c>
      <c r="H194" s="89">
        <f>G171*J171</f>
        <v>0</v>
      </c>
      <c r="I194" s="89">
        <f>H171*$J171</f>
        <v>0</v>
      </c>
      <c r="J194" s="84"/>
      <c r="K194" s="89">
        <f>F171*$K171</f>
        <v>0</v>
      </c>
      <c r="L194" s="89">
        <f>G171*$K171</f>
        <v>503.33951249999996</v>
      </c>
      <c r="M194" s="89">
        <f>H171*$K171</f>
        <v>3346.3688589374997</v>
      </c>
      <c r="N194" s="83"/>
    </row>
    <row r="195" spans="1:14" x14ac:dyDescent="0.25">
      <c r="E195" s="84"/>
      <c r="F195" s="88" t="str">
        <f>E172</f>
        <v>Abutment DL</v>
      </c>
      <c r="G195" s="89">
        <f t="shared" ref="G195:G197" si="7">F172*$J172</f>
        <v>0</v>
      </c>
      <c r="H195" s="89">
        <f t="shared" ref="H195:H197" si="8">G172*J172</f>
        <v>0</v>
      </c>
      <c r="I195" s="89">
        <f t="shared" ref="I195:I197" si="9">H172*$J172</f>
        <v>0</v>
      </c>
      <c r="J195" s="84"/>
      <c r="K195" s="89">
        <f t="shared" ref="K195:K197" si="10">F172*$K172</f>
        <v>0</v>
      </c>
      <c r="L195" s="89">
        <f t="shared" ref="L195:L197" si="11">G172*$K172</f>
        <v>431.75756249999995</v>
      </c>
      <c r="M195" s="89">
        <f t="shared" ref="M195:M197" si="12">H172*$K172</f>
        <v>0</v>
      </c>
      <c r="N195" s="83"/>
    </row>
    <row r="196" spans="1:14" x14ac:dyDescent="0.25">
      <c r="E196" s="84"/>
      <c r="F196" s="88" t="str">
        <f>E173</f>
        <v>Earth pressure</v>
      </c>
      <c r="G196" s="89">
        <f t="shared" si="7"/>
        <v>0</v>
      </c>
      <c r="H196" s="89">
        <f t="shared" si="8"/>
        <v>0</v>
      </c>
      <c r="I196" s="89">
        <f t="shared" si="9"/>
        <v>0</v>
      </c>
      <c r="J196" s="84"/>
      <c r="K196" s="89">
        <f t="shared" si="10"/>
        <v>0</v>
      </c>
      <c r="L196" s="89">
        <f t="shared" si="11"/>
        <v>1248.7829425221591</v>
      </c>
      <c r="M196" s="89">
        <f t="shared" si="12"/>
        <v>4489.3746783671622</v>
      </c>
      <c r="N196" s="83"/>
    </row>
    <row r="197" spans="1:14" x14ac:dyDescent="0.25">
      <c r="E197" s="84"/>
      <c r="F197" s="88" t="s">
        <v>172</v>
      </c>
      <c r="G197" s="89">
        <f t="shared" si="7"/>
        <v>0</v>
      </c>
      <c r="H197" s="89">
        <f t="shared" si="8"/>
        <v>0</v>
      </c>
      <c r="I197" s="89">
        <f t="shared" si="9"/>
        <v>0</v>
      </c>
      <c r="J197" s="84"/>
      <c r="K197" s="89">
        <f t="shared" si="10"/>
        <v>0</v>
      </c>
      <c r="L197" s="89">
        <f t="shared" si="11"/>
        <v>416.83992518124921</v>
      </c>
      <c r="M197" s="89">
        <f t="shared" si="12"/>
        <v>1561.065519803778</v>
      </c>
      <c r="N197" s="83"/>
    </row>
    <row r="198" spans="1:14" x14ac:dyDescent="0.25">
      <c r="E198" s="84"/>
      <c r="F198" s="84"/>
      <c r="G198" s="93">
        <f>SUM(G184:G197)</f>
        <v>4688.0283104678692</v>
      </c>
      <c r="H198" s="93">
        <f>SUM(H184:H197)</f>
        <v>2851.7990444499105</v>
      </c>
      <c r="I198" s="93">
        <f>SUM(I184:I197)</f>
        <v>9325.8091282766654</v>
      </c>
      <c r="J198" s="84"/>
      <c r="K198" s="94">
        <f>SUM(K184:K196)</f>
        <v>4688.0283104678692</v>
      </c>
      <c r="L198" s="94">
        <f>SUM(L184:L197)</f>
        <v>4055.8947003007738</v>
      </c>
      <c r="M198" s="94">
        <f>SUM(M184:M197)</f>
        <v>13596.409228216502</v>
      </c>
      <c r="N198" s="83"/>
    </row>
    <row r="199" spans="1:14" x14ac:dyDescent="0.25">
      <c r="E199" s="83"/>
      <c r="F199" s="83"/>
      <c r="G199" s="83"/>
      <c r="H199" s="83"/>
      <c r="I199" s="83"/>
      <c r="J199" s="83"/>
      <c r="K199" s="83"/>
      <c r="L199" s="83"/>
      <c r="M199" s="83"/>
      <c r="N199" s="83"/>
    </row>
    <row r="202" spans="1:14" x14ac:dyDescent="0.25">
      <c r="A202" s="245" t="s">
        <v>175</v>
      </c>
      <c r="B202" s="245"/>
      <c r="C202" s="245"/>
    </row>
    <row r="210" spans="1:9" x14ac:dyDescent="0.25">
      <c r="C210" t="s">
        <v>195</v>
      </c>
      <c r="D210">
        <f>G32*G33</f>
        <v>13.2</v>
      </c>
      <c r="F210">
        <v>0.1</v>
      </c>
    </row>
    <row r="211" spans="1:9" x14ac:dyDescent="0.25">
      <c r="C211" t="s">
        <v>196</v>
      </c>
      <c r="D211">
        <f>0.446*G10</f>
        <v>13.38</v>
      </c>
    </row>
    <row r="212" spans="1:9" x14ac:dyDescent="0.25">
      <c r="B212" t="s">
        <v>176</v>
      </c>
      <c r="D212">
        <f>D210*D211*F210*1000</f>
        <v>17661.600000000002</v>
      </c>
      <c r="E212" t="s">
        <v>177</v>
      </c>
    </row>
    <row r="213" spans="1:9" x14ac:dyDescent="0.25">
      <c r="B213" t="s">
        <v>178</v>
      </c>
      <c r="D213" s="69">
        <f>K198</f>
        <v>4688.0283104678692</v>
      </c>
      <c r="E213" t="s">
        <v>177</v>
      </c>
    </row>
    <row r="214" spans="1:9" x14ac:dyDescent="0.25">
      <c r="C214" t="s">
        <v>179</v>
      </c>
    </row>
    <row r="216" spans="1:9" ht="15.6" x14ac:dyDescent="0.3">
      <c r="A216" s="244" t="s">
        <v>180</v>
      </c>
      <c r="B216" s="244"/>
      <c r="C216" s="244"/>
    </row>
    <row r="218" spans="1:9" x14ac:dyDescent="0.25">
      <c r="B218" s="217" t="s">
        <v>204</v>
      </c>
      <c r="C218" s="217"/>
      <c r="D218" s="217"/>
    </row>
    <row r="219" spans="1:9" x14ac:dyDescent="0.25">
      <c r="G219" t="s">
        <v>206</v>
      </c>
      <c r="H219">
        <f>D275</f>
        <v>32</v>
      </c>
      <c r="I219" t="s">
        <v>181</v>
      </c>
    </row>
    <row r="220" spans="1:9" x14ac:dyDescent="0.25">
      <c r="B220" t="s">
        <v>197</v>
      </c>
      <c r="C220">
        <v>3.5000000000000001E-3</v>
      </c>
      <c r="D220" t="s">
        <v>205</v>
      </c>
      <c r="E220" s="95">
        <f>0.87*500/200000</f>
        <v>2.1749999999999999E-3</v>
      </c>
      <c r="G220" t="s">
        <v>198</v>
      </c>
      <c r="H220" s="70">
        <f>C229*C221</f>
        <v>284.50882026431719</v>
      </c>
      <c r="I220" t="s">
        <v>181</v>
      </c>
    </row>
    <row r="221" spans="1:9" x14ac:dyDescent="0.25">
      <c r="B221" t="s">
        <v>207</v>
      </c>
      <c r="C221" s="70">
        <f>C220*C225/(C220+E220)</f>
        <v>683.9647577092511</v>
      </c>
      <c r="D221" t="s">
        <v>181</v>
      </c>
      <c r="G221" t="s">
        <v>199</v>
      </c>
      <c r="H221">
        <f>0.446*C227</f>
        <v>13.38</v>
      </c>
      <c r="I221" t="s">
        <v>200</v>
      </c>
    </row>
    <row r="222" spans="1:9" x14ac:dyDescent="0.25">
      <c r="B222" t="s">
        <v>185</v>
      </c>
      <c r="C222">
        <f>G31*1000</f>
        <v>1200</v>
      </c>
      <c r="D222" t="s">
        <v>181</v>
      </c>
    </row>
    <row r="223" spans="1:9" x14ac:dyDescent="0.25">
      <c r="B223" t="s">
        <v>186</v>
      </c>
      <c r="C223">
        <v>75</v>
      </c>
      <c r="D223" t="s">
        <v>181</v>
      </c>
    </row>
    <row r="224" spans="1:9" x14ac:dyDescent="0.25">
      <c r="B224" t="s">
        <v>187</v>
      </c>
      <c r="C224">
        <f>C223+H219/2</f>
        <v>91</v>
      </c>
      <c r="D224" t="s">
        <v>181</v>
      </c>
    </row>
    <row r="225" spans="1:9" x14ac:dyDescent="0.25">
      <c r="B225" t="s">
        <v>184</v>
      </c>
      <c r="C225">
        <f>C222-C224</f>
        <v>1109</v>
      </c>
      <c r="D225" t="s">
        <v>181</v>
      </c>
    </row>
    <row r="226" spans="1:9" x14ac:dyDescent="0.25">
      <c r="B226" t="s">
        <v>188</v>
      </c>
      <c r="C226" s="70">
        <f>G32*1000</f>
        <v>11000</v>
      </c>
      <c r="D226" t="s">
        <v>181</v>
      </c>
    </row>
    <row r="227" spans="1:9" x14ac:dyDescent="0.25">
      <c r="B227" t="s">
        <v>182</v>
      </c>
      <c r="C227">
        <f>G10</f>
        <v>30</v>
      </c>
      <c r="D227" t="s">
        <v>183</v>
      </c>
    </row>
    <row r="228" spans="1:9" x14ac:dyDescent="0.25">
      <c r="B228" t="s">
        <v>201</v>
      </c>
      <c r="C228">
        <v>0.80952000000000002</v>
      </c>
    </row>
    <row r="229" spans="1:9" x14ac:dyDescent="0.25">
      <c r="B229" t="s">
        <v>202</v>
      </c>
      <c r="C229">
        <v>0.41597000000000001</v>
      </c>
    </row>
    <row r="231" spans="1:9" x14ac:dyDescent="0.25">
      <c r="B231" t="s">
        <v>189</v>
      </c>
      <c r="C231" s="58">
        <f>C228*H221*C226*C221/1000</f>
        <v>81491.086114255522</v>
      </c>
      <c r="D231" t="s">
        <v>177</v>
      </c>
      <c r="E231" t="s">
        <v>190</v>
      </c>
      <c r="F231" s="70">
        <f>C225-C229*C221</f>
        <v>824.49117973568286</v>
      </c>
      <c r="G231" t="s">
        <v>181</v>
      </c>
    </row>
    <row r="233" spans="1:9" x14ac:dyDescent="0.25">
      <c r="E233" t="s">
        <v>208</v>
      </c>
      <c r="F233" s="70">
        <f>C231*F231/1000</f>
        <v>67188.68172828466</v>
      </c>
      <c r="G233" t="s">
        <v>336</v>
      </c>
    </row>
    <row r="236" spans="1:9" x14ac:dyDescent="0.25">
      <c r="A236" t="s">
        <v>209</v>
      </c>
      <c r="C236" s="96">
        <f>MAX(I198,M198)</f>
        <v>13596.409228216502</v>
      </c>
      <c r="D236" t="s">
        <v>336</v>
      </c>
      <c r="E236" s="57" t="str">
        <f>IF(F233&gt;C236,"it is design moment","not design moment")</f>
        <v>it is design moment</v>
      </c>
    </row>
    <row r="238" spans="1:9" x14ac:dyDescent="0.25">
      <c r="B238" t="s">
        <v>207</v>
      </c>
      <c r="C238">
        <v>107.21157772583376</v>
      </c>
      <c r="D238" t="s">
        <v>181</v>
      </c>
      <c r="G238" t="s">
        <v>215</v>
      </c>
      <c r="H238" s="58">
        <f>C246*C238</f>
        <v>44.596799986615068</v>
      </c>
      <c r="I238" t="s">
        <v>181</v>
      </c>
    </row>
    <row r="239" spans="1:9" ht="16.2" x14ac:dyDescent="0.25">
      <c r="B239" t="s">
        <v>210</v>
      </c>
      <c r="C239">
        <f>C222</f>
        <v>1200</v>
      </c>
      <c r="D239" t="s">
        <v>181</v>
      </c>
      <c r="G239" t="s">
        <v>216</v>
      </c>
      <c r="H239">
        <f>0.446*C244</f>
        <v>13.38</v>
      </c>
      <c r="I239" t="s">
        <v>217</v>
      </c>
    </row>
    <row r="240" spans="1:9" x14ac:dyDescent="0.25">
      <c r="B240" t="s">
        <v>211</v>
      </c>
      <c r="C240">
        <f>C223</f>
        <v>75</v>
      </c>
      <c r="D240" t="s">
        <v>181</v>
      </c>
    </row>
    <row r="241" spans="1:9" x14ac:dyDescent="0.25">
      <c r="B241" t="s">
        <v>212</v>
      </c>
      <c r="C241">
        <f>C224</f>
        <v>91</v>
      </c>
      <c r="D241" t="s">
        <v>181</v>
      </c>
    </row>
    <row r="242" spans="1:9" x14ac:dyDescent="0.25">
      <c r="B242" t="s">
        <v>135</v>
      </c>
      <c r="C242">
        <f>C239-C241</f>
        <v>1109</v>
      </c>
      <c r="D242" t="s">
        <v>181</v>
      </c>
    </row>
    <row r="243" spans="1:9" x14ac:dyDescent="0.25">
      <c r="B243" t="s">
        <v>213</v>
      </c>
      <c r="C243" s="70">
        <f>C226</f>
        <v>11000</v>
      </c>
      <c r="D243" t="s">
        <v>181</v>
      </c>
    </row>
    <row r="244" spans="1:9" x14ac:dyDescent="0.25">
      <c r="B244" t="s">
        <v>194</v>
      </c>
      <c r="C244">
        <f>C227</f>
        <v>30</v>
      </c>
      <c r="D244" t="s">
        <v>214</v>
      </c>
    </row>
    <row r="245" spans="1:9" x14ac:dyDescent="0.25">
      <c r="B245" t="s">
        <v>201</v>
      </c>
      <c r="C245">
        <f>C228</f>
        <v>0.80952000000000002</v>
      </c>
    </row>
    <row r="246" spans="1:9" x14ac:dyDescent="0.25">
      <c r="B246" t="s">
        <v>202</v>
      </c>
      <c r="C246">
        <f>C229</f>
        <v>0.41597000000000001</v>
      </c>
    </row>
    <row r="248" spans="1:9" x14ac:dyDescent="0.25">
      <c r="B248" t="s">
        <v>189</v>
      </c>
      <c r="C248" s="58">
        <f>C245*H239*C243*C238/1000</f>
        <v>12773.739895842804</v>
      </c>
      <c r="D248" t="s">
        <v>81</v>
      </c>
      <c r="E248" t="s">
        <v>218</v>
      </c>
      <c r="F248" s="58">
        <f>C242-H238</f>
        <v>1064.403200013385</v>
      </c>
      <c r="G248" t="s">
        <v>181</v>
      </c>
    </row>
    <row r="250" spans="1:9" x14ac:dyDescent="0.25">
      <c r="E250" t="s">
        <v>219</v>
      </c>
      <c r="F250" s="70">
        <f>C248*F248/1000</f>
        <v>13596.409621273724</v>
      </c>
      <c r="G250" t="s">
        <v>336</v>
      </c>
      <c r="H250" s="96">
        <f>C236-F250</f>
        <v>-3.9305722202698234E-4</v>
      </c>
      <c r="I250" s="57" t="s">
        <v>220</v>
      </c>
    </row>
    <row r="252" spans="1:9" x14ac:dyDescent="0.25">
      <c r="B252" t="s">
        <v>191</v>
      </c>
      <c r="C252">
        <f>G11</f>
        <v>500</v>
      </c>
    </row>
    <row r="253" spans="1:9" x14ac:dyDescent="0.25">
      <c r="B253" t="s">
        <v>221</v>
      </c>
      <c r="C253" s="58">
        <f>C252/1.15</f>
        <v>434.78260869565219</v>
      </c>
    </row>
    <row r="255" spans="1:9" ht="16.2" x14ac:dyDescent="0.25">
      <c r="A255" s="217" t="s">
        <v>222</v>
      </c>
      <c r="B255" s="217"/>
      <c r="C255" s="98">
        <f>C248*1000/C253</f>
        <v>29379.601760438447</v>
      </c>
      <c r="D255" t="s">
        <v>223</v>
      </c>
    </row>
    <row r="257" spans="1:6" x14ac:dyDescent="0.25">
      <c r="B257" s="245" t="s">
        <v>224</v>
      </c>
      <c r="C257" s="245"/>
      <c r="D257" s="245"/>
      <c r="E257" s="245"/>
      <c r="F257" s="245"/>
    </row>
    <row r="259" spans="1:6" x14ac:dyDescent="0.25">
      <c r="B259">
        <v>0.26</v>
      </c>
      <c r="C259" t="s">
        <v>203</v>
      </c>
      <c r="D259" s="70">
        <f>B259*(G10)^(2/3)</f>
        <v>2.510272399974637</v>
      </c>
      <c r="E259" t="s">
        <v>214</v>
      </c>
      <c r="F259" t="s">
        <v>225</v>
      </c>
    </row>
    <row r="260" spans="1:6" x14ac:dyDescent="0.25">
      <c r="C260" t="s">
        <v>226</v>
      </c>
      <c r="D260">
        <f>G11</f>
        <v>500</v>
      </c>
      <c r="E260" t="s">
        <v>214</v>
      </c>
    </row>
    <row r="262" spans="1:6" x14ac:dyDescent="0.25">
      <c r="D262">
        <f>B259*D259/D260</f>
        <v>1.3053416479868114E-3</v>
      </c>
    </row>
    <row r="264" spans="1:6" x14ac:dyDescent="0.25">
      <c r="B264" s="217" t="s">
        <v>227</v>
      </c>
      <c r="C264" s="217"/>
      <c r="D264">
        <f>IF(D262&lt;0.0013,0.0013,D262)</f>
        <v>1.3053416479868114E-3</v>
      </c>
    </row>
    <row r="265" spans="1:6" ht="16.2" x14ac:dyDescent="0.25">
      <c r="B265" s="217" t="s">
        <v>228</v>
      </c>
      <c r="C265" s="217"/>
      <c r="D265" s="97">
        <f>D264*C243*C242</f>
        <v>15923.862763791112</v>
      </c>
      <c r="E265" t="s">
        <v>223</v>
      </c>
      <c r="F265" s="57" t="str">
        <f>IF(C255&gt;D265,"ok","take mim area")</f>
        <v>ok</v>
      </c>
    </row>
    <row r="267" spans="1:6" x14ac:dyDescent="0.25">
      <c r="A267" s="217" t="s">
        <v>229</v>
      </c>
      <c r="B267" s="217"/>
      <c r="C267" s="217"/>
    </row>
    <row r="268" spans="1:6" ht="16.2" x14ac:dyDescent="0.25">
      <c r="C268" t="s">
        <v>230</v>
      </c>
      <c r="D268">
        <f>C239*C243</f>
        <v>13200000</v>
      </c>
      <c r="E268" t="s">
        <v>223</v>
      </c>
    </row>
    <row r="269" spans="1:6" ht="16.2" x14ac:dyDescent="0.25">
      <c r="B269" s="217" t="s">
        <v>231</v>
      </c>
      <c r="C269" s="217"/>
      <c r="D269" s="97">
        <f>0.025*D268</f>
        <v>330000</v>
      </c>
      <c r="E269" t="s">
        <v>223</v>
      </c>
      <c r="F269" s="57" t="str">
        <f>IF(C255&lt;D269,"ok","not ok")</f>
        <v>ok</v>
      </c>
    </row>
    <row r="272" spans="1:6" x14ac:dyDescent="0.25">
      <c r="A272" s="217" t="s">
        <v>232</v>
      </c>
      <c r="B272" s="217"/>
      <c r="C272" s="217"/>
    </row>
    <row r="274" spans="1:12" ht="16.2" x14ac:dyDescent="0.25">
      <c r="B274" s="218" t="s">
        <v>192</v>
      </c>
      <c r="C274" s="218"/>
      <c r="D274" s="99">
        <v>25</v>
      </c>
      <c r="E274" s="100">
        <f>PI()*D274^2/4</f>
        <v>490.87385212340519</v>
      </c>
      <c r="F274" s="100">
        <f>C243/(H274/E274)</f>
        <v>183.78780003166645</v>
      </c>
      <c r="G274" s="99" t="s">
        <v>193</v>
      </c>
      <c r="H274" s="100">
        <f>MAX(C255,D265)</f>
        <v>29379.601760438447</v>
      </c>
      <c r="I274" s="99" t="s">
        <v>223</v>
      </c>
      <c r="K274" s="57" t="str">
        <f>IF(H274&lt;H275,"OK","NOT OK")</f>
        <v>OK</v>
      </c>
      <c r="L274" t="s">
        <v>234</v>
      </c>
    </row>
    <row r="275" spans="1:12" ht="16.2" x14ac:dyDescent="0.25">
      <c r="B275" s="218" t="s">
        <v>233</v>
      </c>
      <c r="C275" s="218"/>
      <c r="D275" s="99">
        <v>32</v>
      </c>
      <c r="E275" s="100">
        <f>PI()*D275^2/4</f>
        <v>804.24771931898704</v>
      </c>
      <c r="F275" s="99">
        <v>150</v>
      </c>
      <c r="G275" s="99" t="s">
        <v>193</v>
      </c>
      <c r="H275" s="99">
        <f>C243*E275/F275</f>
        <v>58978.166083392374</v>
      </c>
      <c r="I275" s="99" t="s">
        <v>223</v>
      </c>
    </row>
    <row r="278" spans="1:12" x14ac:dyDescent="0.25">
      <c r="A278" s="216" t="s">
        <v>235</v>
      </c>
      <c r="B278" s="216"/>
      <c r="C278" s="216"/>
    </row>
    <row r="280" spans="1:12" x14ac:dyDescent="0.25">
      <c r="B280" t="s">
        <v>236</v>
      </c>
    </row>
    <row r="281" spans="1:12" x14ac:dyDescent="0.25">
      <c r="D281" s="101" t="s">
        <v>237</v>
      </c>
      <c r="E281" s="69">
        <f>SUM(K184:K197)</f>
        <v>4688.0283104678692</v>
      </c>
      <c r="F281" t="s">
        <v>177</v>
      </c>
      <c r="G281" s="101"/>
    </row>
    <row r="282" spans="1:12" x14ac:dyDescent="0.25">
      <c r="D282" t="s">
        <v>242</v>
      </c>
      <c r="E282" s="69">
        <f>H284*H283</f>
        <v>12199000</v>
      </c>
      <c r="F282" t="s">
        <v>243</v>
      </c>
      <c r="G282" t="s">
        <v>244</v>
      </c>
      <c r="H282" s="58">
        <v>0</v>
      </c>
    </row>
    <row r="283" spans="1:12" x14ac:dyDescent="0.25">
      <c r="D283" t="s">
        <v>245</v>
      </c>
      <c r="E283" s="101">
        <f>H275</f>
        <v>58978.166083392374</v>
      </c>
      <c r="F283" t="s">
        <v>243</v>
      </c>
      <c r="G283" s="102" t="s">
        <v>238</v>
      </c>
      <c r="H283" s="70">
        <f>G32*1000</f>
        <v>11000</v>
      </c>
      <c r="I283" t="s">
        <v>181</v>
      </c>
    </row>
    <row r="284" spans="1:12" x14ac:dyDescent="0.25">
      <c r="D284" t="s">
        <v>246</v>
      </c>
      <c r="E284">
        <f>C244</f>
        <v>30</v>
      </c>
      <c r="F284" t="s">
        <v>183</v>
      </c>
      <c r="G284" s="102" t="s">
        <v>184</v>
      </c>
      <c r="H284">
        <f>C242</f>
        <v>1109</v>
      </c>
      <c r="I284" t="s">
        <v>181</v>
      </c>
    </row>
    <row r="285" spans="1:12" x14ac:dyDescent="0.25">
      <c r="D285" t="s">
        <v>239</v>
      </c>
      <c r="E285" s="74">
        <f>1+SQRT(200/H284)</f>
        <v>1.4246676948355859</v>
      </c>
      <c r="F285" t="s">
        <v>251</v>
      </c>
      <c r="G285" t="s">
        <v>247</v>
      </c>
      <c r="H285" s="103">
        <f>E283/(H283*H284)</f>
        <v>4.8346721930807753E-3</v>
      </c>
      <c r="I285" t="s">
        <v>240</v>
      </c>
    </row>
    <row r="286" spans="1:12" x14ac:dyDescent="0.25">
      <c r="D286" t="s">
        <v>252</v>
      </c>
      <c r="E286" s="103">
        <f>0.031*E285^1.5*E284^0.5</f>
        <v>0.28873051533371191</v>
      </c>
      <c r="G286" t="s">
        <v>248</v>
      </c>
      <c r="H286" s="104">
        <f>E286+H282*0.15</f>
        <v>0.28873051533371191</v>
      </c>
    </row>
    <row r="287" spans="1:12" x14ac:dyDescent="0.25">
      <c r="D287" s="102" t="s">
        <v>253</v>
      </c>
      <c r="E287" s="103">
        <f>IF(H287&gt;H286,H287,H286)</f>
        <v>0.38388898691800427</v>
      </c>
      <c r="G287" s="102" t="s">
        <v>249</v>
      </c>
      <c r="H287" s="103">
        <f>0.12*E285*(80*H285*E284)^0.33+0.15*H282</f>
        <v>0.38388898691800427</v>
      </c>
    </row>
    <row r="288" spans="1:12" x14ac:dyDescent="0.25">
      <c r="D288" t="s">
        <v>250</v>
      </c>
      <c r="E288" s="105">
        <f>E287*H284*H283/1000</f>
        <v>4683.0617514127334</v>
      </c>
      <c r="F288" t="s">
        <v>241</v>
      </c>
      <c r="G288" s="69">
        <f>L198</f>
        <v>4055.8947003007738</v>
      </c>
      <c r="H288" t="s">
        <v>177</v>
      </c>
      <c r="K288" s="57" t="str">
        <f>IF(E288&gt;G288,"not required ","required")</f>
        <v xml:space="preserve">not required </v>
      </c>
      <c r="L288" t="s">
        <v>254</v>
      </c>
    </row>
    <row r="290" spans="1:11" x14ac:dyDescent="0.25">
      <c r="A290" s="216" t="s">
        <v>255</v>
      </c>
      <c r="B290" s="216"/>
      <c r="C290" s="216"/>
      <c r="D290" s="247" t="s">
        <v>268</v>
      </c>
      <c r="E290" s="247"/>
      <c r="F290" s="107"/>
      <c r="G290" s="107"/>
      <c r="H290" s="107"/>
    </row>
    <row r="291" spans="1:11" x14ac:dyDescent="0.25">
      <c r="J291" t="s">
        <v>261</v>
      </c>
    </row>
    <row r="292" spans="1:11" x14ac:dyDescent="0.25">
      <c r="B292" s="217" t="s">
        <v>256</v>
      </c>
      <c r="C292" s="217"/>
      <c r="D292">
        <f>D275</f>
        <v>32</v>
      </c>
      <c r="E292" t="s">
        <v>257</v>
      </c>
      <c r="F292" t="s">
        <v>258</v>
      </c>
      <c r="G292">
        <f>F275</f>
        <v>150</v>
      </c>
      <c r="H292" t="s">
        <v>193</v>
      </c>
      <c r="J292">
        <f>D297/G292*PI()*D292^2/4</f>
        <v>5361.6514621265806</v>
      </c>
    </row>
    <row r="294" spans="1:11" x14ac:dyDescent="0.25">
      <c r="B294" s="217" t="s">
        <v>259</v>
      </c>
      <c r="C294" s="217"/>
      <c r="I294" t="s">
        <v>262</v>
      </c>
      <c r="J294">
        <f>0.25*J292</f>
        <v>1340.4128655316451</v>
      </c>
    </row>
    <row r="296" spans="1:11" x14ac:dyDescent="0.25">
      <c r="C296" t="s">
        <v>569</v>
      </c>
      <c r="D296" s="58">
        <f>G31*1000</f>
        <v>1200</v>
      </c>
      <c r="E296" t="s">
        <v>181</v>
      </c>
    </row>
    <row r="297" spans="1:11" x14ac:dyDescent="0.25">
      <c r="C297" t="s">
        <v>260</v>
      </c>
      <c r="D297">
        <v>1000</v>
      </c>
      <c r="E297" t="s">
        <v>181</v>
      </c>
    </row>
    <row r="299" spans="1:11" ht="16.2" x14ac:dyDescent="0.25">
      <c r="C299" t="s">
        <v>263</v>
      </c>
      <c r="D299">
        <f>0.001*D296*D297</f>
        <v>1200</v>
      </c>
      <c r="E299" t="s">
        <v>223</v>
      </c>
    </row>
    <row r="301" spans="1:11" x14ac:dyDescent="0.25">
      <c r="C301" t="s">
        <v>264</v>
      </c>
    </row>
    <row r="302" spans="1:11" ht="16.2" x14ac:dyDescent="0.25">
      <c r="D302">
        <v>16</v>
      </c>
      <c r="E302" t="s">
        <v>181</v>
      </c>
      <c r="F302">
        <f>PI()*D302^2/4</f>
        <v>201.06192982974676</v>
      </c>
      <c r="G302" t="s">
        <v>223</v>
      </c>
      <c r="H302">
        <f>D297/(MAX(J294,D299)/F302)</f>
        <v>150</v>
      </c>
      <c r="I302" t="s">
        <v>193</v>
      </c>
    </row>
    <row r="304" spans="1:11" x14ac:dyDescent="0.25">
      <c r="C304" s="106"/>
      <c r="D304" s="106" t="s">
        <v>265</v>
      </c>
      <c r="E304" s="106">
        <v>20</v>
      </c>
      <c r="F304" s="106" t="s">
        <v>181</v>
      </c>
      <c r="G304" s="106" t="s">
        <v>258</v>
      </c>
      <c r="H304" s="106">
        <v>150</v>
      </c>
      <c r="I304" s="106" t="s">
        <v>266</v>
      </c>
      <c r="J304" s="106"/>
      <c r="K304" s="106"/>
    </row>
    <row r="306" spans="1:12" ht="16.2" x14ac:dyDescent="0.25">
      <c r="G306" t="s">
        <v>267</v>
      </c>
      <c r="H306" s="97">
        <f>(PI()*1000*E304^2/4)/H304</f>
        <v>2094.3951023931954</v>
      </c>
      <c r="I306" t="s">
        <v>223</v>
      </c>
      <c r="J306" s="57" t="str">
        <f>IF(H306&gt;MAX(D299,J294),"ok","not ok")</f>
        <v>ok</v>
      </c>
    </row>
    <row r="310" spans="1:12" x14ac:dyDescent="0.25">
      <c r="A310" s="216" t="s">
        <v>269</v>
      </c>
      <c r="B310" s="216"/>
      <c r="C310" s="216"/>
    </row>
    <row r="313" spans="1:12" x14ac:dyDescent="0.25">
      <c r="A313" s="141"/>
      <c r="B313" s="141"/>
      <c r="C313" s="141" t="s">
        <v>412</v>
      </c>
      <c r="D313" s="142">
        <f>D296</f>
        <v>1200</v>
      </c>
      <c r="E313" s="141"/>
      <c r="F313" s="141" t="s">
        <v>195</v>
      </c>
      <c r="G313" s="141">
        <f>D313*D314</f>
        <v>1200000</v>
      </c>
      <c r="H313" s="141"/>
      <c r="I313" s="141"/>
      <c r="J313" s="141"/>
      <c r="K313" s="141"/>
      <c r="L313" s="141"/>
    </row>
    <row r="314" spans="1:12" x14ac:dyDescent="0.25">
      <c r="A314" s="141"/>
      <c r="B314" s="141"/>
      <c r="C314" s="141" t="s">
        <v>413</v>
      </c>
      <c r="D314" s="141">
        <f>D297</f>
        <v>1000</v>
      </c>
      <c r="E314" s="141"/>
      <c r="F314" s="141"/>
      <c r="G314" s="141"/>
      <c r="H314" s="141"/>
      <c r="I314" s="141"/>
      <c r="J314" s="141"/>
      <c r="K314" s="141"/>
      <c r="L314" s="141"/>
    </row>
    <row r="315" spans="1:12" x14ac:dyDescent="0.25">
      <c r="A315" s="141"/>
      <c r="B315" s="141"/>
      <c r="C315" s="141"/>
      <c r="D315" s="143" t="s">
        <v>414</v>
      </c>
      <c r="E315" s="141">
        <f>0.0012*G313</f>
        <v>1439.9999999999998</v>
      </c>
      <c r="F315" s="141"/>
      <c r="G315" s="141"/>
      <c r="H315" s="141"/>
      <c r="I315" s="143"/>
      <c r="J315" s="141"/>
      <c r="K315" s="141"/>
      <c r="L315" s="141"/>
    </row>
    <row r="316" spans="1:12" ht="16.2" x14ac:dyDescent="0.35">
      <c r="A316" s="141"/>
      <c r="B316" s="141"/>
      <c r="C316" s="141"/>
      <c r="D316" s="141" t="s">
        <v>415</v>
      </c>
      <c r="E316" s="141"/>
      <c r="F316" s="141" t="s">
        <v>423</v>
      </c>
      <c r="G316" s="141" t="s">
        <v>416</v>
      </c>
      <c r="H316" s="141"/>
      <c r="I316" s="141"/>
      <c r="J316" s="141"/>
      <c r="K316" s="141"/>
      <c r="L316" s="141"/>
    </row>
    <row r="317" spans="1:12" x14ac:dyDescent="0.25">
      <c r="A317" s="141"/>
      <c r="B317" s="141"/>
      <c r="C317" s="141" t="s">
        <v>417</v>
      </c>
      <c r="D317" s="141">
        <v>12</v>
      </c>
      <c r="E317" s="141" t="s">
        <v>181</v>
      </c>
      <c r="F317" s="144">
        <f>PI()*D317^2/4</f>
        <v>113.09733552923255</v>
      </c>
      <c r="G317" s="142">
        <f>1000/($E$315/F317)</f>
        <v>78.539816339744846</v>
      </c>
      <c r="H317" s="141"/>
      <c r="I317" s="141"/>
      <c r="J317" s="141"/>
      <c r="K317" s="141"/>
      <c r="L317" s="141"/>
    </row>
    <row r="318" spans="1:12" x14ac:dyDescent="0.25">
      <c r="A318" s="141"/>
      <c r="B318" s="141"/>
      <c r="C318" s="141"/>
      <c r="D318" s="141">
        <v>16</v>
      </c>
      <c r="E318" s="141" t="s">
        <v>181</v>
      </c>
      <c r="F318" s="144">
        <f>PI()*D318^2/4</f>
        <v>201.06192982974676</v>
      </c>
      <c r="G318" s="208">
        <f t="shared" ref="G318:G319" si="13">1000/($E$315/F318)</f>
        <v>139.62634015954637</v>
      </c>
      <c r="H318" s="141"/>
      <c r="I318" s="141"/>
      <c r="J318" s="141"/>
      <c r="K318" s="141"/>
      <c r="L318" s="141"/>
    </row>
    <row r="319" spans="1:12" x14ac:dyDescent="0.25">
      <c r="A319" s="141"/>
      <c r="B319" s="141"/>
      <c r="C319" s="141"/>
      <c r="D319" s="141">
        <v>20</v>
      </c>
      <c r="E319" s="141" t="s">
        <v>181</v>
      </c>
      <c r="F319" s="144">
        <f>PI()*D319^2/4</f>
        <v>314.15926535897933</v>
      </c>
      <c r="G319" s="142">
        <f t="shared" si="13"/>
        <v>218.16615649929122</v>
      </c>
      <c r="H319" s="141"/>
      <c r="I319" s="141"/>
      <c r="J319" s="141"/>
      <c r="K319" s="141"/>
      <c r="L319" s="141"/>
    </row>
    <row r="320" spans="1:12" x14ac:dyDescent="0.25">
      <c r="A320" s="141"/>
      <c r="B320" s="141"/>
      <c r="C320" s="141"/>
      <c r="D320" s="145" t="s">
        <v>418</v>
      </c>
      <c r="E320" s="145">
        <v>20</v>
      </c>
      <c r="F320" s="145" t="s">
        <v>419</v>
      </c>
      <c r="G320" s="145">
        <v>150</v>
      </c>
      <c r="H320" s="141" t="s">
        <v>266</v>
      </c>
      <c r="I320" s="141"/>
      <c r="J320" s="141"/>
      <c r="K320" s="141"/>
      <c r="L320" s="141"/>
    </row>
    <row r="321" spans="1:12" ht="17.399999999999999" x14ac:dyDescent="0.35">
      <c r="A321" s="141"/>
      <c r="B321" s="141"/>
      <c r="C321" s="141"/>
      <c r="D321" s="141"/>
      <c r="E321" s="141"/>
      <c r="F321" s="143" t="s">
        <v>424</v>
      </c>
      <c r="G321" s="146">
        <f>1000/G320*PI()*E320*E320/4</f>
        <v>2094.3951023931954</v>
      </c>
      <c r="H321" s="141" t="s">
        <v>425</v>
      </c>
      <c r="I321" s="147" t="str">
        <f>IF(G321&gt;E315,"OK","NOTOK")</f>
        <v>OK</v>
      </c>
      <c r="J321" s="141"/>
      <c r="K321" s="141"/>
      <c r="L321" s="141"/>
    </row>
    <row r="322" spans="1:12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</row>
    <row r="323" spans="1:12" ht="17.399999999999999" x14ac:dyDescent="0.35">
      <c r="A323" s="145" t="s">
        <v>420</v>
      </c>
      <c r="B323" s="145"/>
      <c r="C323" s="145" t="s">
        <v>426</v>
      </c>
      <c r="D323" s="145"/>
      <c r="E323" s="148">
        <f>H275</f>
        <v>58978.166083392374</v>
      </c>
      <c r="F323" s="145" t="s">
        <v>425</v>
      </c>
      <c r="G323" s="145"/>
      <c r="H323" s="145"/>
      <c r="I323" s="145"/>
      <c r="J323" s="145"/>
      <c r="K323" s="145"/>
      <c r="L323" s="145"/>
    </row>
    <row r="324" spans="1:12" ht="17.399999999999999" x14ac:dyDescent="0.35">
      <c r="A324" s="145"/>
      <c r="B324" s="145"/>
      <c r="C324" s="145" t="s">
        <v>427</v>
      </c>
      <c r="D324" s="145"/>
      <c r="E324" s="148">
        <f>G321</f>
        <v>2094.3951023931954</v>
      </c>
      <c r="F324" s="145" t="s">
        <v>425</v>
      </c>
      <c r="G324" s="145"/>
      <c r="H324" s="145"/>
      <c r="I324" s="145"/>
      <c r="J324" s="145"/>
      <c r="K324" s="145"/>
      <c r="L324" s="145"/>
    </row>
    <row r="325" spans="1:12" x14ac:dyDescent="0.25">
      <c r="A325" s="145"/>
      <c r="B325" s="145"/>
      <c r="C325" s="145"/>
      <c r="D325" s="145"/>
      <c r="E325" s="149" t="s">
        <v>421</v>
      </c>
      <c r="F325" s="145">
        <f>0.04*1000*1200</f>
        <v>48000</v>
      </c>
      <c r="G325" s="145"/>
      <c r="H325" s="145" t="str">
        <f>IF(F325&gt;E324,"OK","NOTOK")</f>
        <v>OK</v>
      </c>
      <c r="I325" s="145"/>
      <c r="J325" s="145"/>
      <c r="K325" s="145"/>
      <c r="L325" s="145"/>
    </row>
    <row r="326" spans="1:12" x14ac:dyDescent="0.25">
      <c r="A326" s="145"/>
      <c r="B326" s="145"/>
      <c r="C326" s="145"/>
      <c r="D326" s="145"/>
      <c r="E326" s="149" t="s">
        <v>422</v>
      </c>
      <c r="F326" s="145">
        <f>E315</f>
        <v>1439.9999999999998</v>
      </c>
      <c r="G326" s="145"/>
      <c r="H326" s="145" t="str">
        <f>IF(F326&lt;E323,"OK","NOTOK")</f>
        <v>OK</v>
      </c>
      <c r="I326" s="145"/>
      <c r="J326" s="145"/>
      <c r="K326" s="145"/>
      <c r="L326" s="145"/>
    </row>
    <row r="329" spans="1:12" x14ac:dyDescent="0.25">
      <c r="A329" s="220" t="s">
        <v>441</v>
      </c>
      <c r="B329" s="220"/>
      <c r="C329" s="79"/>
      <c r="D329" s="79"/>
      <c r="E329" s="79"/>
      <c r="F329" s="79"/>
      <c r="G329" s="59" t="s">
        <v>428</v>
      </c>
      <c r="H329" s="59"/>
      <c r="I329" s="59"/>
    </row>
    <row r="330" spans="1:12" x14ac:dyDescent="0.25">
      <c r="A330" s="79"/>
      <c r="B330" s="79"/>
      <c r="C330" s="79"/>
      <c r="D330" s="79"/>
      <c r="E330" s="79"/>
      <c r="F330" s="79"/>
      <c r="G330" s="59" t="s">
        <v>429</v>
      </c>
      <c r="H330" s="59" t="s">
        <v>564</v>
      </c>
      <c r="I330" s="59" t="s">
        <v>565</v>
      </c>
    </row>
    <row r="331" spans="1:12" x14ac:dyDescent="0.25">
      <c r="A331" s="79"/>
      <c r="B331" s="79"/>
      <c r="C331" s="79"/>
      <c r="D331" s="79"/>
    </row>
    <row r="332" spans="1:12" x14ac:dyDescent="0.25">
      <c r="A332" s="79"/>
      <c r="C332" s="59"/>
      <c r="D332" s="215" t="s">
        <v>149</v>
      </c>
      <c r="E332" s="215"/>
      <c r="F332" s="213" t="s">
        <v>150</v>
      </c>
    </row>
    <row r="333" spans="1:12" x14ac:dyDescent="0.25">
      <c r="A333" s="79"/>
      <c r="C333" s="59"/>
      <c r="D333" s="81" t="s">
        <v>152</v>
      </c>
      <c r="E333" s="81" t="s">
        <v>153</v>
      </c>
      <c r="F333" s="213"/>
    </row>
    <row r="334" spans="1:12" x14ac:dyDescent="0.25">
      <c r="A334" s="79"/>
      <c r="C334" s="63" t="s">
        <v>156</v>
      </c>
      <c r="D334" s="82">
        <f>F161</f>
        <v>1918.9224999999999</v>
      </c>
      <c r="E334" s="82">
        <v>0</v>
      </c>
      <c r="F334" s="82">
        <f>H161</f>
        <v>-100.47399999999993</v>
      </c>
      <c r="G334" s="79">
        <v>1</v>
      </c>
      <c r="H334">
        <v>1</v>
      </c>
      <c r="I334" s="206">
        <v>1</v>
      </c>
    </row>
    <row r="335" spans="1:12" x14ac:dyDescent="0.25">
      <c r="A335" s="79"/>
      <c r="C335" s="63" t="s">
        <v>157</v>
      </c>
      <c r="D335" s="82">
        <f>F162</f>
        <v>1989.5645</v>
      </c>
      <c r="E335" s="82"/>
      <c r="F335" s="82">
        <f>H162</f>
        <v>0</v>
      </c>
      <c r="G335" s="79">
        <v>1</v>
      </c>
      <c r="H335">
        <v>1</v>
      </c>
      <c r="I335">
        <v>1</v>
      </c>
    </row>
    <row r="336" spans="1:12" x14ac:dyDescent="0.25">
      <c r="A336" s="79"/>
      <c r="C336" s="63" t="s">
        <v>158</v>
      </c>
      <c r="D336" s="82">
        <f>G186</f>
        <v>247.5</v>
      </c>
      <c r="E336" s="82"/>
      <c r="F336" s="82">
        <f>I186</f>
        <v>0</v>
      </c>
      <c r="G336" s="79">
        <v>1.2</v>
      </c>
      <c r="H336">
        <v>1.2</v>
      </c>
      <c r="I336">
        <v>1.2</v>
      </c>
    </row>
    <row r="337" spans="1:16" x14ac:dyDescent="0.25">
      <c r="A337" s="79"/>
      <c r="C337" s="63" t="s">
        <v>159</v>
      </c>
      <c r="D337" s="82">
        <f>G187</f>
        <v>0</v>
      </c>
      <c r="E337" s="82"/>
      <c r="F337" s="82">
        <f>I187</f>
        <v>0</v>
      </c>
      <c r="G337" s="79">
        <v>1</v>
      </c>
      <c r="H337">
        <v>0.75</v>
      </c>
      <c r="I337">
        <v>0</v>
      </c>
    </row>
    <row r="338" spans="1:16" x14ac:dyDescent="0.25">
      <c r="A338" s="79"/>
      <c r="C338" s="63" t="s">
        <v>160</v>
      </c>
      <c r="D338" s="82"/>
      <c r="E338" s="82">
        <f>G165</f>
        <v>1284.4613474742855</v>
      </c>
      <c r="F338" s="82">
        <f>I188</f>
        <v>5818.2245656542709</v>
      </c>
      <c r="G338" s="79">
        <v>1</v>
      </c>
      <c r="H338">
        <v>1</v>
      </c>
      <c r="I338">
        <v>1</v>
      </c>
    </row>
    <row r="339" spans="1:16" x14ac:dyDescent="0.25">
      <c r="A339" s="79"/>
      <c r="C339" s="63" t="s">
        <v>161</v>
      </c>
      <c r="D339" s="82">
        <f>G189</f>
        <v>532.04131046786961</v>
      </c>
      <c r="E339" s="82"/>
      <c r="F339" s="82">
        <f>H166</f>
        <v>-319.22478628072173</v>
      </c>
      <c r="G339" s="79">
        <v>1</v>
      </c>
      <c r="H339">
        <v>1</v>
      </c>
      <c r="I339">
        <v>1</v>
      </c>
    </row>
    <row r="340" spans="1:16" x14ac:dyDescent="0.25">
      <c r="A340" s="79"/>
      <c r="C340" s="63" t="s">
        <v>162</v>
      </c>
      <c r="D340" s="82"/>
      <c r="E340" s="82">
        <f>G167</f>
        <v>464.07486311540191</v>
      </c>
      <c r="F340" s="82">
        <f>H167</f>
        <v>1737.9603623671801</v>
      </c>
      <c r="G340" s="79">
        <v>0.8</v>
      </c>
      <c r="H340">
        <v>0</v>
      </c>
      <c r="I340">
        <v>0</v>
      </c>
    </row>
    <row r="341" spans="1:16" x14ac:dyDescent="0.25">
      <c r="A341" s="79"/>
      <c r="C341" s="63" t="s">
        <v>163</v>
      </c>
      <c r="D341" s="82"/>
      <c r="E341" s="82">
        <f>G168</f>
        <v>200</v>
      </c>
      <c r="F341" s="82">
        <f>H168</f>
        <v>995.2</v>
      </c>
      <c r="G341" s="79">
        <v>1</v>
      </c>
      <c r="H341">
        <v>0.75</v>
      </c>
      <c r="I341">
        <v>0</v>
      </c>
    </row>
    <row r="342" spans="1:16" x14ac:dyDescent="0.25">
      <c r="A342" s="79"/>
      <c r="C342" s="63" t="s">
        <v>164</v>
      </c>
      <c r="D342" s="82"/>
      <c r="E342" s="82">
        <f>G169</f>
        <v>75.796875</v>
      </c>
      <c r="F342" s="82">
        <f>H169</f>
        <v>387.70101562500003</v>
      </c>
      <c r="G342" s="79">
        <v>0.6</v>
      </c>
      <c r="H342">
        <v>0.75</v>
      </c>
      <c r="I342">
        <v>0.5</v>
      </c>
    </row>
    <row r="343" spans="1:16" x14ac:dyDescent="0.25">
      <c r="A343" s="79"/>
      <c r="C343" s="59"/>
      <c r="D343" s="214" t="s">
        <v>165</v>
      </c>
      <c r="E343" s="214"/>
      <c r="F343" s="214"/>
      <c r="G343" s="79"/>
    </row>
    <row r="344" spans="1:16" x14ac:dyDescent="0.25">
      <c r="A344" s="79"/>
      <c r="C344" s="63" t="s">
        <v>166</v>
      </c>
      <c r="D344" s="82"/>
      <c r="E344" s="82">
        <f t="shared" ref="E344:F346" si="14">G171</f>
        <v>335.55967499999997</v>
      </c>
      <c r="F344" s="82">
        <f t="shared" si="14"/>
        <v>2230.9125726249999</v>
      </c>
      <c r="G344" s="79">
        <v>0</v>
      </c>
      <c r="H344">
        <v>0</v>
      </c>
      <c r="I344">
        <v>0</v>
      </c>
    </row>
    <row r="345" spans="1:16" x14ac:dyDescent="0.25">
      <c r="A345" s="79"/>
      <c r="B345" s="79"/>
      <c r="C345" s="63" t="s">
        <v>167</v>
      </c>
      <c r="D345" s="82"/>
      <c r="E345" s="82">
        <f t="shared" si="14"/>
        <v>287.83837499999998</v>
      </c>
      <c r="F345" s="82">
        <f t="shared" si="14"/>
        <v>0</v>
      </c>
      <c r="G345" s="79">
        <v>0</v>
      </c>
      <c r="H345">
        <v>0</v>
      </c>
      <c r="I345">
        <v>0</v>
      </c>
    </row>
    <row r="346" spans="1:16" x14ac:dyDescent="0.25">
      <c r="A346" s="79"/>
      <c r="C346" s="63" t="s">
        <v>168</v>
      </c>
      <c r="D346" s="82"/>
      <c r="E346" s="82">
        <f t="shared" si="14"/>
        <v>832.52196168143939</v>
      </c>
      <c r="F346" s="82">
        <f t="shared" si="14"/>
        <v>2992.916452244775</v>
      </c>
      <c r="G346" s="79">
        <v>0</v>
      </c>
      <c r="H346">
        <v>0</v>
      </c>
      <c r="I346">
        <v>0</v>
      </c>
    </row>
    <row r="347" spans="1:16" x14ac:dyDescent="0.25">
      <c r="A347" s="79"/>
    </row>
    <row r="348" spans="1:16" x14ac:dyDescent="0.25">
      <c r="A348" s="79"/>
      <c r="C348" s="153"/>
      <c r="D348" s="212" t="s">
        <v>568</v>
      </c>
      <c r="E348" s="212"/>
      <c r="F348" s="212"/>
      <c r="H348" s="153"/>
      <c r="I348" s="212" t="s">
        <v>566</v>
      </c>
      <c r="J348" s="212"/>
      <c r="K348" s="212"/>
      <c r="M348" s="153"/>
      <c r="N348" s="212" t="s">
        <v>567</v>
      </c>
      <c r="O348" s="212"/>
      <c r="P348" s="212"/>
    </row>
    <row r="349" spans="1:16" ht="27.6" x14ac:dyDescent="0.25">
      <c r="A349" s="79"/>
      <c r="C349" s="59"/>
      <c r="D349" s="210" t="s">
        <v>149</v>
      </c>
      <c r="E349" s="211"/>
      <c r="F349" s="131" t="s">
        <v>150</v>
      </c>
      <c r="H349" s="59"/>
      <c r="I349" s="210" t="s">
        <v>149</v>
      </c>
      <c r="J349" s="211"/>
      <c r="K349" s="131" t="s">
        <v>150</v>
      </c>
      <c r="M349" s="59"/>
      <c r="N349" s="210" t="s">
        <v>149</v>
      </c>
      <c r="O349" s="211"/>
      <c r="P349" s="131" t="s">
        <v>150</v>
      </c>
    </row>
    <row r="350" spans="1:16" x14ac:dyDescent="0.25">
      <c r="A350" s="79"/>
      <c r="C350" s="59"/>
      <c r="D350" s="81" t="s">
        <v>152</v>
      </c>
      <c r="E350" s="81" t="s">
        <v>153</v>
      </c>
      <c r="F350" s="131"/>
      <c r="H350" s="59"/>
      <c r="I350" s="81" t="s">
        <v>152</v>
      </c>
      <c r="J350" s="81" t="s">
        <v>153</v>
      </c>
      <c r="K350" s="131"/>
      <c r="M350" s="59"/>
      <c r="N350" s="81" t="s">
        <v>152</v>
      </c>
      <c r="O350" s="81" t="s">
        <v>153</v>
      </c>
      <c r="P350" s="131"/>
    </row>
    <row r="351" spans="1:16" ht="13.8" customHeight="1" x14ac:dyDescent="0.25">
      <c r="A351" s="79"/>
      <c r="C351" s="63" t="s">
        <v>156</v>
      </c>
      <c r="D351" s="82">
        <f>D334*G334</f>
        <v>1918.9224999999999</v>
      </c>
      <c r="E351" s="82">
        <f>E334*G334</f>
        <v>0</v>
      </c>
      <c r="F351" s="82">
        <f>F334*G334</f>
        <v>-100.47399999999993</v>
      </c>
      <c r="H351" s="63" t="s">
        <v>156</v>
      </c>
      <c r="I351" s="82">
        <f>D334*H334</f>
        <v>1918.9224999999999</v>
      </c>
      <c r="J351" s="82">
        <f>E334*H334</f>
        <v>0</v>
      </c>
      <c r="K351" s="82">
        <f>F334*H334</f>
        <v>-100.47399999999993</v>
      </c>
      <c r="M351" s="63" t="s">
        <v>156</v>
      </c>
      <c r="N351" s="82">
        <f>D334*I334</f>
        <v>1918.9224999999999</v>
      </c>
      <c r="O351" s="82">
        <f>E334*I334</f>
        <v>0</v>
      </c>
      <c r="P351" s="82">
        <f>F334*I334</f>
        <v>-100.47399999999993</v>
      </c>
    </row>
    <row r="352" spans="1:16" x14ac:dyDescent="0.25">
      <c r="A352" s="79"/>
      <c r="C352" s="63" t="s">
        <v>157</v>
      </c>
      <c r="D352" s="82">
        <f t="shared" ref="D352:D359" si="15">D335*G335</f>
        <v>1989.5645</v>
      </c>
      <c r="E352" s="82">
        <f t="shared" ref="E352:E359" si="16">E335*G335</f>
        <v>0</v>
      </c>
      <c r="F352" s="82">
        <f t="shared" ref="F352:F359" si="17">F335*G335</f>
        <v>0</v>
      </c>
      <c r="H352" s="63" t="s">
        <v>157</v>
      </c>
      <c r="I352" s="82">
        <f t="shared" ref="I352:I359" si="18">D335*H335</f>
        <v>1989.5645</v>
      </c>
      <c r="J352" s="82">
        <f t="shared" ref="J352:J359" si="19">E335*H335</f>
        <v>0</v>
      </c>
      <c r="K352" s="82">
        <f t="shared" ref="K352:K359" si="20">F335*H335</f>
        <v>0</v>
      </c>
      <c r="M352" s="63" t="s">
        <v>157</v>
      </c>
      <c r="N352" s="82">
        <f t="shared" ref="N352:N359" si="21">D335*I335</f>
        <v>1989.5645</v>
      </c>
      <c r="O352" s="82">
        <f t="shared" ref="O352:O359" si="22">E335*I335</f>
        <v>0</v>
      </c>
      <c r="P352" s="82">
        <f t="shared" ref="P352:P359" si="23">F335*I335</f>
        <v>0</v>
      </c>
    </row>
    <row r="353" spans="1:16" x14ac:dyDescent="0.25">
      <c r="A353" s="79"/>
      <c r="C353" s="63" t="s">
        <v>158</v>
      </c>
      <c r="D353" s="82">
        <f t="shared" si="15"/>
        <v>297</v>
      </c>
      <c r="E353" s="82">
        <f t="shared" si="16"/>
        <v>0</v>
      </c>
      <c r="F353" s="82">
        <f t="shared" si="17"/>
        <v>0</v>
      </c>
      <c r="H353" s="63" t="s">
        <v>158</v>
      </c>
      <c r="I353" s="82">
        <f t="shared" si="18"/>
        <v>297</v>
      </c>
      <c r="J353" s="82">
        <f t="shared" si="19"/>
        <v>0</v>
      </c>
      <c r="K353" s="82">
        <f t="shared" si="20"/>
        <v>0</v>
      </c>
      <c r="M353" s="63" t="s">
        <v>158</v>
      </c>
      <c r="N353" s="82">
        <f t="shared" si="21"/>
        <v>297</v>
      </c>
      <c r="O353" s="82">
        <f t="shared" si="22"/>
        <v>0</v>
      </c>
      <c r="P353" s="82">
        <f t="shared" si="23"/>
        <v>0</v>
      </c>
    </row>
    <row r="354" spans="1:16" x14ac:dyDescent="0.25">
      <c r="A354" s="79"/>
      <c r="C354" s="63" t="s">
        <v>159</v>
      </c>
      <c r="D354" s="82">
        <f t="shared" si="15"/>
        <v>0</v>
      </c>
      <c r="E354" s="82">
        <f t="shared" si="16"/>
        <v>0</v>
      </c>
      <c r="F354" s="82">
        <f t="shared" si="17"/>
        <v>0</v>
      </c>
      <c r="H354" s="63" t="s">
        <v>159</v>
      </c>
      <c r="I354" s="82">
        <f t="shared" si="18"/>
        <v>0</v>
      </c>
      <c r="J354" s="82">
        <f t="shared" si="19"/>
        <v>0</v>
      </c>
      <c r="K354" s="82">
        <f t="shared" si="20"/>
        <v>0</v>
      </c>
      <c r="M354" s="63" t="s">
        <v>159</v>
      </c>
      <c r="N354" s="82">
        <f t="shared" si="21"/>
        <v>0</v>
      </c>
      <c r="O354" s="82">
        <f t="shared" si="22"/>
        <v>0</v>
      </c>
      <c r="P354" s="82">
        <f t="shared" si="23"/>
        <v>0</v>
      </c>
    </row>
    <row r="355" spans="1:16" x14ac:dyDescent="0.25">
      <c r="A355" s="79"/>
      <c r="C355" s="63" t="s">
        <v>160</v>
      </c>
      <c r="D355" s="82">
        <f t="shared" si="15"/>
        <v>0</v>
      </c>
      <c r="E355" s="82">
        <f t="shared" si="16"/>
        <v>1284.4613474742855</v>
      </c>
      <c r="F355" s="82">
        <f t="shared" si="17"/>
        <v>5818.2245656542709</v>
      </c>
      <c r="H355" s="63" t="s">
        <v>160</v>
      </c>
      <c r="I355" s="82">
        <f t="shared" si="18"/>
        <v>0</v>
      </c>
      <c r="J355" s="82">
        <f t="shared" si="19"/>
        <v>1284.4613474742855</v>
      </c>
      <c r="K355" s="82">
        <f t="shared" si="20"/>
        <v>5818.2245656542709</v>
      </c>
      <c r="M355" s="63" t="s">
        <v>160</v>
      </c>
      <c r="N355" s="82">
        <f t="shared" si="21"/>
        <v>0</v>
      </c>
      <c r="O355" s="82">
        <f t="shared" si="22"/>
        <v>1284.4613474742855</v>
      </c>
      <c r="P355" s="82">
        <f t="shared" si="23"/>
        <v>5818.2245656542709</v>
      </c>
    </row>
    <row r="356" spans="1:16" x14ac:dyDescent="0.25">
      <c r="A356" s="79"/>
      <c r="B356" s="79"/>
      <c r="C356" s="63" t="s">
        <v>161</v>
      </c>
      <c r="D356" s="82">
        <f t="shared" si="15"/>
        <v>532.04131046786961</v>
      </c>
      <c r="E356" s="82">
        <f t="shared" si="16"/>
        <v>0</v>
      </c>
      <c r="F356" s="82">
        <f t="shared" si="17"/>
        <v>-319.22478628072173</v>
      </c>
      <c r="H356" s="63" t="s">
        <v>161</v>
      </c>
      <c r="I356" s="82">
        <f t="shared" si="18"/>
        <v>532.04131046786961</v>
      </c>
      <c r="J356" s="82">
        <f t="shared" si="19"/>
        <v>0</v>
      </c>
      <c r="K356" s="82">
        <f t="shared" si="20"/>
        <v>-319.22478628072173</v>
      </c>
      <c r="M356" s="63" t="s">
        <v>161</v>
      </c>
      <c r="N356" s="82">
        <f t="shared" si="21"/>
        <v>532.04131046786961</v>
      </c>
      <c r="O356" s="82">
        <f t="shared" si="22"/>
        <v>0</v>
      </c>
      <c r="P356" s="82">
        <f t="shared" si="23"/>
        <v>-319.22478628072173</v>
      </c>
    </row>
    <row r="357" spans="1:16" x14ac:dyDescent="0.25">
      <c r="A357" s="79"/>
      <c r="B357" s="79"/>
      <c r="C357" s="63" t="s">
        <v>162</v>
      </c>
      <c r="D357" s="82">
        <f t="shared" si="15"/>
        <v>0</v>
      </c>
      <c r="E357" s="82">
        <f t="shared" si="16"/>
        <v>371.25989049232157</v>
      </c>
      <c r="F357" s="82">
        <f t="shared" si="17"/>
        <v>1390.3682898937441</v>
      </c>
      <c r="H357" s="63" t="s">
        <v>162</v>
      </c>
      <c r="I357" s="82">
        <f t="shared" si="18"/>
        <v>0</v>
      </c>
      <c r="J357" s="82">
        <f t="shared" si="19"/>
        <v>0</v>
      </c>
      <c r="K357" s="82">
        <f t="shared" si="20"/>
        <v>0</v>
      </c>
      <c r="M357" s="63" t="s">
        <v>162</v>
      </c>
      <c r="N357" s="82">
        <f t="shared" si="21"/>
        <v>0</v>
      </c>
      <c r="O357" s="82">
        <f t="shared" si="22"/>
        <v>0</v>
      </c>
      <c r="P357" s="82">
        <f t="shared" si="23"/>
        <v>0</v>
      </c>
    </row>
    <row r="358" spans="1:16" x14ac:dyDescent="0.25">
      <c r="A358" s="79"/>
      <c r="B358" s="79"/>
      <c r="C358" s="63" t="s">
        <v>163</v>
      </c>
      <c r="D358" s="82">
        <f t="shared" si="15"/>
        <v>0</v>
      </c>
      <c r="E358" s="82">
        <f t="shared" si="16"/>
        <v>200</v>
      </c>
      <c r="F358" s="82">
        <f t="shared" si="17"/>
        <v>995.2</v>
      </c>
      <c r="H358" s="63" t="s">
        <v>163</v>
      </c>
      <c r="I358" s="82">
        <f t="shared" si="18"/>
        <v>0</v>
      </c>
      <c r="J358" s="82">
        <f t="shared" si="19"/>
        <v>150</v>
      </c>
      <c r="K358" s="82">
        <f t="shared" si="20"/>
        <v>746.40000000000009</v>
      </c>
      <c r="M358" s="63" t="s">
        <v>163</v>
      </c>
      <c r="N358" s="82">
        <f t="shared" si="21"/>
        <v>0</v>
      </c>
      <c r="O358" s="82">
        <f t="shared" si="22"/>
        <v>0</v>
      </c>
      <c r="P358" s="82">
        <f t="shared" si="23"/>
        <v>0</v>
      </c>
    </row>
    <row r="359" spans="1:16" x14ac:dyDescent="0.25">
      <c r="A359" s="79"/>
      <c r="B359" s="79"/>
      <c r="C359" s="63" t="s">
        <v>164</v>
      </c>
      <c r="D359" s="82">
        <f t="shared" si="15"/>
        <v>0</v>
      </c>
      <c r="E359" s="82">
        <f t="shared" si="16"/>
        <v>45.478124999999999</v>
      </c>
      <c r="F359" s="82">
        <f t="shared" si="17"/>
        <v>232.62060937500002</v>
      </c>
      <c r="H359" s="63" t="s">
        <v>164</v>
      </c>
      <c r="I359" s="82">
        <f t="shared" si="18"/>
        <v>0</v>
      </c>
      <c r="J359" s="82">
        <f t="shared" si="19"/>
        <v>56.84765625</v>
      </c>
      <c r="K359" s="82">
        <f t="shared" si="20"/>
        <v>290.77576171875</v>
      </c>
      <c r="M359" s="63" t="s">
        <v>164</v>
      </c>
      <c r="N359" s="82">
        <f t="shared" si="21"/>
        <v>0</v>
      </c>
      <c r="O359" s="82">
        <f t="shared" si="22"/>
        <v>37.8984375</v>
      </c>
      <c r="P359" s="82">
        <f t="shared" si="23"/>
        <v>193.85050781250001</v>
      </c>
    </row>
    <row r="360" spans="1:16" x14ac:dyDescent="0.25">
      <c r="A360" s="79"/>
      <c r="B360" s="79"/>
      <c r="C360" s="59"/>
      <c r="D360" s="139" t="s">
        <v>165</v>
      </c>
      <c r="E360" s="139"/>
      <c r="F360" s="139"/>
      <c r="H360" s="59"/>
      <c r="I360" s="139" t="s">
        <v>165</v>
      </c>
      <c r="J360" s="139"/>
      <c r="K360" s="139"/>
      <c r="M360" s="59"/>
      <c r="N360" s="139" t="s">
        <v>165</v>
      </c>
      <c r="O360" s="139"/>
      <c r="P360" s="139"/>
    </row>
    <row r="361" spans="1:16" x14ac:dyDescent="0.25">
      <c r="A361" s="79"/>
      <c r="B361" s="79"/>
      <c r="C361" s="63" t="s">
        <v>166</v>
      </c>
      <c r="D361" s="82"/>
      <c r="E361" s="82">
        <f>E344*G344</f>
        <v>0</v>
      </c>
      <c r="F361" s="82">
        <f>F344*G344</f>
        <v>0</v>
      </c>
      <c r="H361" s="63" t="s">
        <v>166</v>
      </c>
      <c r="I361" s="82"/>
      <c r="J361" s="82">
        <f>E344*H344</f>
        <v>0</v>
      </c>
      <c r="K361" s="82">
        <f>F344*H344</f>
        <v>0</v>
      </c>
      <c r="M361" s="63" t="s">
        <v>166</v>
      </c>
      <c r="N361" s="82"/>
      <c r="O361" s="82">
        <f>O344*Q344</f>
        <v>0</v>
      </c>
      <c r="P361" s="82">
        <f>F344*I344</f>
        <v>0</v>
      </c>
    </row>
    <row r="362" spans="1:16" x14ac:dyDescent="0.25">
      <c r="A362" s="79"/>
      <c r="B362" s="79"/>
      <c r="C362" s="63" t="s">
        <v>167</v>
      </c>
      <c r="D362" s="82"/>
      <c r="E362" s="82">
        <f t="shared" ref="E362:E363" si="24">E345*G345</f>
        <v>0</v>
      </c>
      <c r="F362" s="82">
        <f t="shared" ref="F362:F363" si="25">F345*G345</f>
        <v>0</v>
      </c>
      <c r="H362" s="63" t="s">
        <v>167</v>
      </c>
      <c r="I362" s="82"/>
      <c r="J362" s="82">
        <f t="shared" ref="J362:J363" si="26">E345*H345</f>
        <v>0</v>
      </c>
      <c r="K362" s="82">
        <f t="shared" ref="K362:K363" si="27">F345*H345</f>
        <v>0</v>
      </c>
      <c r="M362" s="63" t="s">
        <v>167</v>
      </c>
      <c r="N362" s="82"/>
      <c r="O362" s="82">
        <f t="shared" ref="O362:O363" si="28">O345*Q345</f>
        <v>0</v>
      </c>
      <c r="P362" s="82">
        <f t="shared" ref="P362:P363" si="29">F345*I345</f>
        <v>0</v>
      </c>
    </row>
    <row r="363" spans="1:16" x14ac:dyDescent="0.25">
      <c r="A363" s="79"/>
      <c r="B363" s="79"/>
      <c r="C363" s="63" t="s">
        <v>168</v>
      </c>
      <c r="D363" s="82"/>
      <c r="E363" s="82">
        <f t="shared" si="24"/>
        <v>0</v>
      </c>
      <c r="F363" s="82">
        <f t="shared" si="25"/>
        <v>0</v>
      </c>
      <c r="H363" s="63" t="s">
        <v>168</v>
      </c>
      <c r="I363" s="82"/>
      <c r="J363" s="82">
        <f t="shared" si="26"/>
        <v>0</v>
      </c>
      <c r="K363" s="82">
        <f t="shared" si="27"/>
        <v>0</v>
      </c>
      <c r="M363" s="63" t="s">
        <v>168</v>
      </c>
      <c r="N363" s="82"/>
      <c r="O363" s="82">
        <f t="shared" si="28"/>
        <v>0</v>
      </c>
      <c r="P363" s="82">
        <f t="shared" si="29"/>
        <v>0</v>
      </c>
    </row>
    <row r="364" spans="1:16" x14ac:dyDescent="0.25">
      <c r="A364" s="79"/>
      <c r="B364" s="79"/>
      <c r="F364" s="68">
        <f>SUM(F351:F363)</f>
        <v>8016.7146786422927</v>
      </c>
      <c r="K364" s="68">
        <f>SUM(K351:K363)</f>
        <v>6435.7015410922986</v>
      </c>
      <c r="P364" s="68">
        <f>SUM(P351:P363)</f>
        <v>5592.376287186049</v>
      </c>
    </row>
    <row r="365" spans="1:16" x14ac:dyDescent="0.25">
      <c r="A365" s="79"/>
      <c r="B365" s="79"/>
    </row>
    <row r="366" spans="1:16" x14ac:dyDescent="0.25">
      <c r="A366" s="79"/>
      <c r="B366" s="79"/>
      <c r="C366" s="59"/>
      <c r="D366" s="59"/>
      <c r="E366" s="63" t="s">
        <v>430</v>
      </c>
      <c r="F366" s="154">
        <f>MAX(F364,K364,P364)</f>
        <v>8016.7146786422927</v>
      </c>
      <c r="G366" s="59" t="s">
        <v>431</v>
      </c>
      <c r="H366" s="59"/>
      <c r="I366" s="59"/>
    </row>
    <row r="367" spans="1:16" ht="17.399999999999999" x14ac:dyDescent="0.35">
      <c r="A367" s="79"/>
      <c r="B367" s="79"/>
      <c r="C367" s="59"/>
      <c r="D367" s="63" t="s">
        <v>442</v>
      </c>
      <c r="E367" s="155">
        <f>H275</f>
        <v>58978.166083392374</v>
      </c>
      <c r="F367" s="59" t="s">
        <v>459</v>
      </c>
      <c r="G367" s="63" t="s">
        <v>432</v>
      </c>
      <c r="H367" s="156">
        <f>C243</f>
        <v>11000</v>
      </c>
      <c r="I367" s="59" t="s">
        <v>181</v>
      </c>
    </row>
    <row r="368" spans="1:16" ht="16.2" x14ac:dyDescent="0.35">
      <c r="A368" s="79"/>
      <c r="B368" s="79"/>
      <c r="C368" s="59"/>
      <c r="D368" s="63" t="s">
        <v>433</v>
      </c>
      <c r="E368" s="155">
        <f>E371-E370/3</f>
        <v>1027.6972429549351</v>
      </c>
      <c r="F368" s="157" t="s">
        <v>181</v>
      </c>
      <c r="G368" s="63" t="s">
        <v>443</v>
      </c>
      <c r="H368" s="158">
        <f>2.5*(E369-E371)</f>
        <v>227.5</v>
      </c>
      <c r="I368" s="59"/>
    </row>
    <row r="369" spans="1:9" x14ac:dyDescent="0.25">
      <c r="A369" s="79"/>
      <c r="B369" s="79"/>
      <c r="C369" s="59"/>
      <c r="D369" s="63" t="s">
        <v>434</v>
      </c>
      <c r="E369" s="155">
        <f>C222</f>
        <v>1200</v>
      </c>
      <c r="F369" s="157" t="s">
        <v>435</v>
      </c>
      <c r="G369" s="63"/>
      <c r="H369" s="158">
        <f>(E369-E370)/3</f>
        <v>318.69724295493495</v>
      </c>
      <c r="I369" s="59"/>
    </row>
    <row r="370" spans="1:9" ht="16.2" x14ac:dyDescent="0.35">
      <c r="A370" s="79"/>
      <c r="B370" s="79"/>
      <c r="C370" s="59"/>
      <c r="D370" s="63" t="s">
        <v>444</v>
      </c>
      <c r="E370" s="167">
        <f>finddc(E367,E372,H367,E377,E371)</f>
        <v>243.90827113519515</v>
      </c>
      <c r="F370" s="157" t="s">
        <v>181</v>
      </c>
      <c r="G370" s="63"/>
      <c r="H370" s="158">
        <f>E369/2</f>
        <v>600</v>
      </c>
      <c r="I370" s="59"/>
    </row>
    <row r="371" spans="1:9" ht="16.2" x14ac:dyDescent="0.35">
      <c r="A371" s="79"/>
      <c r="B371" s="79"/>
      <c r="C371" s="155"/>
      <c r="D371" s="63" t="s">
        <v>436</v>
      </c>
      <c r="E371" s="59">
        <f>C242</f>
        <v>1109</v>
      </c>
      <c r="F371" s="157" t="s">
        <v>181</v>
      </c>
      <c r="G371" s="63" t="s">
        <v>445</v>
      </c>
      <c r="H371" s="158">
        <f>MIN(H368:H370)*H367</f>
        <v>2502500</v>
      </c>
      <c r="I371" s="59"/>
    </row>
    <row r="372" spans="1:9" ht="16.2" x14ac:dyDescent="0.25">
      <c r="A372" s="79"/>
      <c r="B372" s="79"/>
      <c r="C372" s="59"/>
      <c r="D372" s="159" t="s">
        <v>446</v>
      </c>
      <c r="E372" s="59">
        <f>2*10^5</f>
        <v>200000</v>
      </c>
      <c r="F372" s="59" t="s">
        <v>447</v>
      </c>
      <c r="G372" s="59"/>
      <c r="H372" s="59"/>
      <c r="I372" s="59"/>
    </row>
    <row r="373" spans="1:9" ht="17.399999999999999" x14ac:dyDescent="0.35">
      <c r="A373" s="79"/>
      <c r="B373" s="79"/>
      <c r="C373" s="59"/>
      <c r="D373" s="63" t="s">
        <v>448</v>
      </c>
      <c r="E373" s="160">
        <f>F366*1000*1000/E367/E368</f>
        <v>132.2634879641447</v>
      </c>
      <c r="F373" s="157" t="s">
        <v>73</v>
      </c>
      <c r="G373" s="59"/>
      <c r="H373" s="59"/>
      <c r="I373" s="59"/>
    </row>
    <row r="374" spans="1:9" ht="16.2" x14ac:dyDescent="0.35">
      <c r="A374" s="79"/>
      <c r="B374" s="79"/>
      <c r="C374" s="59"/>
      <c r="D374" s="63" t="s">
        <v>449</v>
      </c>
      <c r="E374" s="64">
        <v>0.5</v>
      </c>
      <c r="F374" s="59"/>
      <c r="G374" s="59"/>
      <c r="H374" s="59"/>
      <c r="I374" s="59"/>
    </row>
    <row r="375" spans="1:9" ht="16.2" x14ac:dyDescent="0.25">
      <c r="A375" s="79"/>
      <c r="B375" s="152"/>
      <c r="C375" s="64"/>
      <c r="D375" s="159" t="s">
        <v>450</v>
      </c>
      <c r="E375" s="59">
        <f>C227+10</f>
        <v>40</v>
      </c>
      <c r="F375" s="59"/>
      <c r="G375" s="59"/>
      <c r="H375" s="59"/>
      <c r="I375" s="59"/>
    </row>
    <row r="376" spans="1:9" ht="16.2" x14ac:dyDescent="0.35">
      <c r="A376" s="79"/>
      <c r="B376" s="79"/>
      <c r="C376" s="59"/>
      <c r="D376" s="63" t="s">
        <v>451</v>
      </c>
      <c r="E376" s="64">
        <f>0.259*(C244)^(2/3)</f>
        <v>2.5006175061285809</v>
      </c>
      <c r="F376" s="59"/>
      <c r="G376" s="59"/>
      <c r="H376" s="59"/>
      <c r="I376" s="59"/>
    </row>
    <row r="377" spans="1:9" ht="16.2" x14ac:dyDescent="0.25">
      <c r="A377" s="79"/>
      <c r="B377" s="79"/>
      <c r="C377" s="59"/>
      <c r="D377" s="159" t="s">
        <v>452</v>
      </c>
      <c r="E377" s="156">
        <f>22*(E375/12.5)^0.3 *1000</f>
        <v>31186.574455693422</v>
      </c>
      <c r="F377" s="59" t="s">
        <v>453</v>
      </c>
      <c r="G377" s="59"/>
      <c r="H377" s="59"/>
      <c r="I377" s="59"/>
    </row>
    <row r="378" spans="1:9" ht="16.2" x14ac:dyDescent="0.35">
      <c r="A378" s="79"/>
      <c r="B378" s="79"/>
      <c r="C378" s="59"/>
      <c r="D378" s="63" t="s">
        <v>454</v>
      </c>
      <c r="E378" s="161">
        <f>E367/H371</f>
        <v>2.3567698734622326E-2</v>
      </c>
      <c r="F378" s="59"/>
      <c r="G378" s="59"/>
      <c r="H378" s="59"/>
      <c r="I378" s="59"/>
    </row>
    <row r="379" spans="1:9" ht="16.2" x14ac:dyDescent="0.25">
      <c r="A379" s="79"/>
      <c r="B379" s="152"/>
      <c r="C379" s="59"/>
      <c r="D379" s="159" t="s">
        <v>455</v>
      </c>
      <c r="E379" s="162">
        <f>E372/E377</f>
        <v>6.413015968911199</v>
      </c>
      <c r="F379" s="59"/>
      <c r="G379" s="59"/>
      <c r="H379" s="59"/>
      <c r="I379" s="59"/>
    </row>
    <row r="380" spans="1:9" ht="16.2" x14ac:dyDescent="0.35">
      <c r="A380" s="79"/>
      <c r="B380" s="79"/>
      <c r="C380" s="59"/>
      <c r="D380" s="163" t="s">
        <v>456</v>
      </c>
      <c r="E380" s="164">
        <f>MAX((E373-E374*(E376/E378)*(1+E379*E378))/E372,G380)</f>
        <v>3.9679046389243412E-4</v>
      </c>
      <c r="F380" s="159" t="s">
        <v>457</v>
      </c>
      <c r="G380" s="165">
        <f>0.6*E373/E372</f>
        <v>3.9679046389243412E-4</v>
      </c>
      <c r="H380" s="140"/>
      <c r="I380" s="59"/>
    </row>
    <row r="381" spans="1:9" x14ac:dyDescent="0.25">
      <c r="A381" s="79"/>
      <c r="B381" s="79"/>
      <c r="C381" s="59"/>
      <c r="D381" s="63" t="s">
        <v>437</v>
      </c>
      <c r="E381" s="59">
        <v>75</v>
      </c>
      <c r="F381" s="59" t="s">
        <v>181</v>
      </c>
      <c r="G381" s="59"/>
      <c r="H381" s="59"/>
      <c r="I381" s="59"/>
    </row>
    <row r="382" spans="1:9" ht="16.2" x14ac:dyDescent="0.35">
      <c r="B382" s="79"/>
      <c r="C382" s="59"/>
      <c r="D382" s="163" t="s">
        <v>458</v>
      </c>
      <c r="E382" s="162">
        <f>3.4*E381+0.17*D275/E378</f>
        <v>485.82440340296455</v>
      </c>
      <c r="F382" s="59" t="s">
        <v>181</v>
      </c>
      <c r="G382" s="59"/>
      <c r="H382" s="59"/>
      <c r="I382" s="59"/>
    </row>
    <row r="383" spans="1:9" x14ac:dyDescent="0.25">
      <c r="B383" s="79"/>
      <c r="C383" s="59"/>
      <c r="D383" s="163" t="s">
        <v>438</v>
      </c>
      <c r="E383" s="207">
        <f>E380*E382</f>
        <v>0.19277049039652736</v>
      </c>
      <c r="F383" s="59" t="s">
        <v>439</v>
      </c>
      <c r="G383" s="166" t="str">
        <f>IF(E383&lt;0.3,"OK","NOTOK")</f>
        <v>OK</v>
      </c>
      <c r="H383" s="59" t="s">
        <v>440</v>
      </c>
      <c r="I383" s="59"/>
    </row>
    <row r="384" spans="1:9" x14ac:dyDescent="0.25">
      <c r="B384" s="79"/>
      <c r="C384" s="79"/>
      <c r="D384" s="79"/>
      <c r="E384" s="79"/>
      <c r="F384" s="79"/>
      <c r="G384" s="79"/>
      <c r="H384" s="79"/>
      <c r="I384" s="79"/>
    </row>
  </sheetData>
  <mergeCells count="98">
    <mergeCell ref="B292:C292"/>
    <mergeCell ref="B294:C294"/>
    <mergeCell ref="D290:E290"/>
    <mergeCell ref="A310:C310"/>
    <mergeCell ref="A329:B329"/>
    <mergeCell ref="E131:G131"/>
    <mergeCell ref="A202:C202"/>
    <mergeCell ref="C143:D143"/>
    <mergeCell ref="B145:D145"/>
    <mergeCell ref="C148:D148"/>
    <mergeCell ref="B264:C264"/>
    <mergeCell ref="B265:C265"/>
    <mergeCell ref="A267:C267"/>
    <mergeCell ref="B269:C269"/>
    <mergeCell ref="A216:C216"/>
    <mergeCell ref="B218:D218"/>
    <mergeCell ref="A255:B255"/>
    <mergeCell ref="B257:F257"/>
    <mergeCell ref="B110:C110"/>
    <mergeCell ref="A113:C113"/>
    <mergeCell ref="C120:D120"/>
    <mergeCell ref="C132:D132"/>
    <mergeCell ref="A100:C100"/>
    <mergeCell ref="B106:C106"/>
    <mergeCell ref="B107:C107"/>
    <mergeCell ref="B108:C108"/>
    <mergeCell ref="B109:C109"/>
    <mergeCell ref="C121:D121"/>
    <mergeCell ref="C129:D129"/>
    <mergeCell ref="B96:C96"/>
    <mergeCell ref="A97:C97"/>
    <mergeCell ref="A95:C95"/>
    <mergeCell ref="A88:C88"/>
    <mergeCell ref="A89:C89"/>
    <mergeCell ref="A90:C90"/>
    <mergeCell ref="A91:C91"/>
    <mergeCell ref="B93:C93"/>
    <mergeCell ref="A92:C92"/>
    <mergeCell ref="B84:C84"/>
    <mergeCell ref="A85:C85"/>
    <mergeCell ref="B86:C86"/>
    <mergeCell ref="A87:C87"/>
    <mergeCell ref="B74:C74"/>
    <mergeCell ref="B75:C75"/>
    <mergeCell ref="A77:C77"/>
    <mergeCell ref="B79:C79"/>
    <mergeCell ref="A82:C82"/>
    <mergeCell ref="B81:C81"/>
    <mergeCell ref="A1:C1"/>
    <mergeCell ref="A12:E12"/>
    <mergeCell ref="D16:I16"/>
    <mergeCell ref="F42:F43"/>
    <mergeCell ref="A13:C13"/>
    <mergeCell ref="A14:C14"/>
    <mergeCell ref="F2:G2"/>
    <mergeCell ref="A10:C10"/>
    <mergeCell ref="A11:C11"/>
    <mergeCell ref="E10:F10"/>
    <mergeCell ref="E11:F11"/>
    <mergeCell ref="E35:F35"/>
    <mergeCell ref="E36:F36"/>
    <mergeCell ref="A72:C72"/>
    <mergeCell ref="E37:F37"/>
    <mergeCell ref="H22:J22"/>
    <mergeCell ref="B54:C54"/>
    <mergeCell ref="B44:C44"/>
    <mergeCell ref="B45:C45"/>
    <mergeCell ref="B46:C46"/>
    <mergeCell ref="E42:E43"/>
    <mergeCell ref="D42:D43"/>
    <mergeCell ref="B42:C43"/>
    <mergeCell ref="B48:C48"/>
    <mergeCell ref="B55:C55"/>
    <mergeCell ref="B56:C56"/>
    <mergeCell ref="M182:M183"/>
    <mergeCell ref="A158:B158"/>
    <mergeCell ref="F159:G159"/>
    <mergeCell ref="H159:H160"/>
    <mergeCell ref="J159:K159"/>
    <mergeCell ref="F170:H170"/>
    <mergeCell ref="G182:H182"/>
    <mergeCell ref="I182:I183"/>
    <mergeCell ref="K182:L182"/>
    <mergeCell ref="G181:I181"/>
    <mergeCell ref="A278:C278"/>
    <mergeCell ref="A290:C290"/>
    <mergeCell ref="A272:C272"/>
    <mergeCell ref="B274:C274"/>
    <mergeCell ref="B275:C275"/>
    <mergeCell ref="N349:O349"/>
    <mergeCell ref="I348:K348"/>
    <mergeCell ref="N348:P348"/>
    <mergeCell ref="D348:F348"/>
    <mergeCell ref="F332:F333"/>
    <mergeCell ref="D343:F343"/>
    <mergeCell ref="I349:J349"/>
    <mergeCell ref="D349:E349"/>
    <mergeCell ref="D332:E332"/>
  </mergeCells>
  <phoneticPr fontId="33" type="noConversion"/>
  <pageMargins left="0.7" right="0.7" top="0.75" bottom="0.75" header="0.3" footer="0.3"/>
  <pageSetup orientation="portrait" r:id="rId1"/>
  <ignoredErrors>
    <ignoredError sqref="H194:H197 C24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55F2C-0D13-48A4-BB59-5B8D6C379C75}">
  <sheetPr codeName="Sheet2"/>
  <dimension ref="A1:R278"/>
  <sheetViews>
    <sheetView topLeftCell="A261" workbookViewId="0">
      <selection activeCell="H276" sqref="H276"/>
    </sheetView>
  </sheetViews>
  <sheetFormatPr defaultRowHeight="13.8" x14ac:dyDescent="0.25"/>
  <cols>
    <col min="3" max="3" width="9.3984375" bestFit="1" customWidth="1"/>
    <col min="4" max="4" width="10.3984375" bestFit="1" customWidth="1"/>
  </cols>
  <sheetData>
    <row r="1" spans="1:14" x14ac:dyDescent="0.25">
      <c r="A1" s="249" t="s">
        <v>271</v>
      </c>
      <c r="B1" s="249"/>
      <c r="C1" s="249"/>
      <c r="D1" s="249"/>
      <c r="E1" s="249"/>
      <c r="F1" s="249"/>
    </row>
    <row r="2" spans="1:14" x14ac:dyDescent="0.25">
      <c r="A2" s="249"/>
      <c r="B2" s="249"/>
      <c r="C2" s="249"/>
      <c r="D2" s="249"/>
      <c r="E2" s="249"/>
      <c r="F2" s="249"/>
    </row>
    <row r="4" spans="1:14" x14ac:dyDescent="0.25">
      <c r="A4" t="s">
        <v>272</v>
      </c>
    </row>
    <row r="5" spans="1:14" x14ac:dyDescent="0.25">
      <c r="A5" s="217" t="s">
        <v>273</v>
      </c>
      <c r="B5" s="217"/>
      <c r="C5" s="217"/>
      <c r="D5" s="217"/>
      <c r="E5" s="217"/>
    </row>
    <row r="6" spans="1:14" x14ac:dyDescent="0.25">
      <c r="B6" s="217" t="s">
        <v>288</v>
      </c>
      <c r="C6" s="217"/>
      <c r="F6" s="217" t="s">
        <v>151</v>
      </c>
      <c r="G6" s="217"/>
      <c r="H6" s="217"/>
      <c r="I6" s="217"/>
    </row>
    <row r="7" spans="1:14" x14ac:dyDescent="0.25">
      <c r="A7" t="s">
        <v>274</v>
      </c>
      <c r="B7" t="s">
        <v>275</v>
      </c>
      <c r="C7" t="s">
        <v>276</v>
      </c>
      <c r="D7" t="s">
        <v>277</v>
      </c>
      <c r="G7" s="109" t="s">
        <v>289</v>
      </c>
      <c r="H7" s="109" t="s">
        <v>290</v>
      </c>
      <c r="I7" s="109" t="s">
        <v>291</v>
      </c>
    </row>
    <row r="8" spans="1:14" ht="16.2" x14ac:dyDescent="0.35">
      <c r="A8" t="s">
        <v>280</v>
      </c>
      <c r="B8" s="58">
        <f>'abutment design'!F161</f>
        <v>1918.9224999999999</v>
      </c>
      <c r="C8" s="58"/>
      <c r="D8" s="58">
        <f>'abutment design'!H161</f>
        <v>-100.47399999999993</v>
      </c>
      <c r="F8" s="110"/>
      <c r="G8">
        <v>1</v>
      </c>
      <c r="H8">
        <v>1</v>
      </c>
      <c r="I8">
        <v>1</v>
      </c>
      <c r="L8" s="76" t="s">
        <v>396</v>
      </c>
      <c r="M8" s="76">
        <f>D186</f>
        <v>9.44</v>
      </c>
      <c r="N8" t="s">
        <v>19</v>
      </c>
    </row>
    <row r="9" spans="1:14" ht="16.2" x14ac:dyDescent="0.35">
      <c r="A9" t="s">
        <v>44</v>
      </c>
      <c r="B9" s="58">
        <f>'abutment design'!F162</f>
        <v>1989.5645</v>
      </c>
      <c r="C9" s="58"/>
      <c r="D9" s="58">
        <f>'abutment design'!H162</f>
        <v>0</v>
      </c>
      <c r="F9" s="110"/>
      <c r="G9">
        <v>1</v>
      </c>
      <c r="H9">
        <v>1</v>
      </c>
      <c r="I9">
        <v>1</v>
      </c>
      <c r="L9" s="76" t="s">
        <v>397</v>
      </c>
      <c r="M9" s="76">
        <f>I99-M8</f>
        <v>13.56</v>
      </c>
      <c r="N9" t="s">
        <v>19</v>
      </c>
    </row>
    <row r="10" spans="1:14" x14ac:dyDescent="0.25">
      <c r="A10" t="s">
        <v>278</v>
      </c>
      <c r="B10" s="58">
        <f>'abutment design'!F163</f>
        <v>247.5</v>
      </c>
      <c r="C10" s="58"/>
      <c r="D10" s="58">
        <f>'abutment design'!H163</f>
        <v>0</v>
      </c>
      <c r="F10" s="110"/>
      <c r="G10">
        <v>1</v>
      </c>
      <c r="H10">
        <v>1</v>
      </c>
      <c r="I10">
        <v>1</v>
      </c>
    </row>
    <row r="11" spans="1:14" x14ac:dyDescent="0.25">
      <c r="A11" t="s">
        <v>279</v>
      </c>
      <c r="B11" s="58">
        <f>'abutment design'!F164</f>
        <v>803.32400000000007</v>
      </c>
      <c r="C11" s="58"/>
      <c r="D11" s="58">
        <f>'abutment design'!H164</f>
        <v>0</v>
      </c>
      <c r="F11" s="110"/>
      <c r="G11">
        <v>1</v>
      </c>
      <c r="H11">
        <v>1</v>
      </c>
      <c r="I11">
        <v>0</v>
      </c>
    </row>
    <row r="12" spans="1:14" x14ac:dyDescent="0.25">
      <c r="A12" t="s">
        <v>286</v>
      </c>
      <c r="B12" s="58"/>
      <c r="C12" s="58">
        <f>'abutment design'!G165</f>
        <v>1284.4613474742855</v>
      </c>
      <c r="D12" s="58">
        <f>'abutment design'!H165</f>
        <v>3878.8163771028476</v>
      </c>
      <c r="F12" s="110"/>
      <c r="G12">
        <v>1</v>
      </c>
      <c r="H12">
        <v>1</v>
      </c>
      <c r="I12">
        <v>1</v>
      </c>
    </row>
    <row r="13" spans="1:14" x14ac:dyDescent="0.25">
      <c r="A13" t="s">
        <v>287</v>
      </c>
      <c r="B13" s="58">
        <f>'abutment design'!F166</f>
        <v>532.04131046786961</v>
      </c>
      <c r="C13" s="58"/>
      <c r="D13" s="58">
        <f>'abutment design'!F70</f>
        <v>-319.22478628072173</v>
      </c>
      <c r="F13" s="110"/>
      <c r="G13">
        <v>1</v>
      </c>
      <c r="H13">
        <v>1</v>
      </c>
      <c r="I13">
        <v>1</v>
      </c>
    </row>
    <row r="14" spans="1:14" x14ac:dyDescent="0.25">
      <c r="A14" t="s">
        <v>163</v>
      </c>
      <c r="B14" s="58"/>
      <c r="C14" s="58">
        <f>'abutment design'!G168</f>
        <v>200</v>
      </c>
      <c r="D14" s="58">
        <f>'abutment design'!H168</f>
        <v>995.2</v>
      </c>
      <c r="F14" s="110"/>
      <c r="G14">
        <v>1</v>
      </c>
      <c r="H14">
        <v>1</v>
      </c>
      <c r="I14">
        <v>0</v>
      </c>
    </row>
    <row r="15" spans="1:14" x14ac:dyDescent="0.25">
      <c r="A15" t="s">
        <v>164</v>
      </c>
      <c r="B15" s="58"/>
      <c r="C15" s="58">
        <f>'abutment design'!G169</f>
        <v>75.796875</v>
      </c>
      <c r="D15" s="58">
        <f>'abutment design'!H169</f>
        <v>387.70101562500003</v>
      </c>
      <c r="F15" s="110"/>
      <c r="G15">
        <v>0</v>
      </c>
      <c r="H15">
        <v>0</v>
      </c>
      <c r="I15">
        <v>0</v>
      </c>
    </row>
    <row r="16" spans="1:14" x14ac:dyDescent="0.25">
      <c r="A16" t="s">
        <v>281</v>
      </c>
      <c r="B16" s="58"/>
      <c r="C16" s="58">
        <f>'abutment design'!G167</f>
        <v>464.07486311540191</v>
      </c>
      <c r="D16" s="58">
        <f>'abutment design'!H167</f>
        <v>1737.9603623671801</v>
      </c>
      <c r="F16" s="110"/>
      <c r="G16">
        <v>1</v>
      </c>
      <c r="H16">
        <v>1</v>
      </c>
      <c r="I16">
        <v>0</v>
      </c>
    </row>
    <row r="17" spans="1:9" x14ac:dyDescent="0.25">
      <c r="A17" t="s">
        <v>282</v>
      </c>
      <c r="B17" s="58"/>
      <c r="C17" s="58"/>
      <c r="D17" s="58"/>
      <c r="F17" s="110"/>
    </row>
    <row r="18" spans="1:9" x14ac:dyDescent="0.25">
      <c r="A18" t="s">
        <v>283</v>
      </c>
      <c r="B18" s="58"/>
      <c r="C18" s="58">
        <f>'abutment design'!G171</f>
        <v>335.55967499999997</v>
      </c>
      <c r="D18" s="58">
        <f>'abutment design'!H171</f>
        <v>2230.9125726249999</v>
      </c>
      <c r="G18">
        <v>0</v>
      </c>
      <c r="H18">
        <v>1</v>
      </c>
      <c r="I18">
        <v>1</v>
      </c>
    </row>
    <row r="19" spans="1:9" x14ac:dyDescent="0.25">
      <c r="A19" t="s">
        <v>284</v>
      </c>
      <c r="B19" s="58"/>
      <c r="C19" s="58">
        <f>'abutment design'!G172</f>
        <v>287.83837499999998</v>
      </c>
      <c r="D19" s="58">
        <f>'abutment design'!H172</f>
        <v>0</v>
      </c>
      <c r="F19" s="110"/>
      <c r="G19">
        <v>0</v>
      </c>
      <c r="H19">
        <v>1</v>
      </c>
      <c r="I19">
        <v>1</v>
      </c>
    </row>
    <row r="20" spans="1:9" x14ac:dyDescent="0.25">
      <c r="A20" t="s">
        <v>285</v>
      </c>
      <c r="B20" s="58"/>
      <c r="C20" s="58">
        <f>'abutment design'!G173</f>
        <v>832.52196168143939</v>
      </c>
      <c r="D20" s="58">
        <f>'abutment design'!H173</f>
        <v>2992.916452244775</v>
      </c>
      <c r="F20" s="110"/>
      <c r="G20">
        <v>0</v>
      </c>
      <c r="H20">
        <v>1</v>
      </c>
      <c r="I20">
        <v>1</v>
      </c>
    </row>
    <row r="21" spans="1:9" x14ac:dyDescent="0.25">
      <c r="A21" t="s">
        <v>146</v>
      </c>
      <c r="B21" s="58"/>
      <c r="C21" s="58">
        <f>'abutment design'!G174</f>
        <v>277.89328345416612</v>
      </c>
      <c r="D21" s="58">
        <f>'abutment design'!H174</f>
        <v>1040.7103465358521</v>
      </c>
      <c r="F21" s="110"/>
      <c r="G21">
        <v>0</v>
      </c>
      <c r="H21">
        <v>1</v>
      </c>
      <c r="I21">
        <v>0</v>
      </c>
    </row>
    <row r="22" spans="1:9" x14ac:dyDescent="0.25">
      <c r="B22" s="58"/>
      <c r="C22" s="130">
        <f>SUM(C8:C21)</f>
        <v>3758.1463807252926</v>
      </c>
      <c r="D22" s="58"/>
      <c r="I22" s="110"/>
    </row>
    <row r="23" spans="1:9" x14ac:dyDescent="0.25">
      <c r="I23" s="110"/>
    </row>
    <row r="24" spans="1:9" x14ac:dyDescent="0.25">
      <c r="A24" t="s">
        <v>292</v>
      </c>
    </row>
    <row r="25" spans="1:9" x14ac:dyDescent="0.25">
      <c r="A25" t="s">
        <v>293</v>
      </c>
      <c r="B25" t="s">
        <v>275</v>
      </c>
      <c r="C25" t="s">
        <v>276</v>
      </c>
      <c r="D25" t="s">
        <v>277</v>
      </c>
      <c r="I25" s="110"/>
    </row>
    <row r="26" spans="1:9" x14ac:dyDescent="0.25">
      <c r="A26" t="s">
        <v>294</v>
      </c>
      <c r="B26" s="58">
        <f t="shared" ref="B26:D28" si="0">B8*$G8</f>
        <v>1918.9224999999999</v>
      </c>
      <c r="C26" s="58">
        <f t="shared" si="0"/>
        <v>0</v>
      </c>
      <c r="D26" s="58">
        <f t="shared" si="0"/>
        <v>-100.47399999999993</v>
      </c>
      <c r="I26" s="110"/>
    </row>
    <row r="27" spans="1:9" x14ac:dyDescent="0.25">
      <c r="A27" t="s">
        <v>44</v>
      </c>
      <c r="B27" s="58">
        <f t="shared" si="0"/>
        <v>1989.5645</v>
      </c>
      <c r="C27" s="58">
        <f t="shared" si="0"/>
        <v>0</v>
      </c>
      <c r="D27" s="58">
        <f t="shared" si="0"/>
        <v>0</v>
      </c>
      <c r="I27" s="68"/>
    </row>
    <row r="28" spans="1:9" x14ac:dyDescent="0.25">
      <c r="A28" t="s">
        <v>295</v>
      </c>
      <c r="B28" s="58">
        <f t="shared" si="0"/>
        <v>247.5</v>
      </c>
      <c r="C28" s="58">
        <f t="shared" si="0"/>
        <v>0</v>
      </c>
      <c r="D28" s="58">
        <f t="shared" si="0"/>
        <v>0</v>
      </c>
    </row>
    <row r="29" spans="1:9" x14ac:dyDescent="0.25">
      <c r="A29" t="s">
        <v>296</v>
      </c>
      <c r="B29" s="58">
        <f t="shared" ref="B29:C39" si="1">B11*$G11</f>
        <v>803.32400000000007</v>
      </c>
      <c r="C29" s="58">
        <f t="shared" si="1"/>
        <v>0</v>
      </c>
      <c r="D29" s="58"/>
    </row>
    <row r="30" spans="1:9" x14ac:dyDescent="0.25">
      <c r="A30" t="s">
        <v>286</v>
      </c>
      <c r="B30" s="58">
        <f t="shared" si="1"/>
        <v>0</v>
      </c>
      <c r="C30" s="58">
        <f t="shared" si="1"/>
        <v>1284.4613474742855</v>
      </c>
      <c r="D30" s="58">
        <f>D12*$G12</f>
        <v>3878.8163771028476</v>
      </c>
    </row>
    <row r="31" spans="1:9" x14ac:dyDescent="0.25">
      <c r="A31" t="s">
        <v>297</v>
      </c>
      <c r="B31" s="58">
        <f t="shared" si="1"/>
        <v>532.04131046786961</v>
      </c>
      <c r="C31" s="58">
        <f t="shared" si="1"/>
        <v>0</v>
      </c>
      <c r="D31" s="58"/>
    </row>
    <row r="32" spans="1:9" x14ac:dyDescent="0.25">
      <c r="A32" t="s">
        <v>163</v>
      </c>
      <c r="B32" s="58">
        <f t="shared" si="1"/>
        <v>0</v>
      </c>
      <c r="C32" s="58">
        <f t="shared" si="1"/>
        <v>200</v>
      </c>
      <c r="D32" s="58">
        <f>D14*$G14</f>
        <v>995.2</v>
      </c>
    </row>
    <row r="33" spans="1:5" x14ac:dyDescent="0.25">
      <c r="A33" t="s">
        <v>164</v>
      </c>
      <c r="B33" s="58">
        <f t="shared" si="1"/>
        <v>0</v>
      </c>
      <c r="C33" s="58">
        <f t="shared" si="1"/>
        <v>0</v>
      </c>
      <c r="D33" s="58">
        <f>D15*$G15</f>
        <v>0</v>
      </c>
    </row>
    <row r="34" spans="1:5" x14ac:dyDescent="0.25">
      <c r="A34" t="s">
        <v>281</v>
      </c>
      <c r="B34" s="58">
        <f t="shared" si="1"/>
        <v>0</v>
      </c>
      <c r="C34" s="58">
        <f t="shared" si="1"/>
        <v>464.07486311540191</v>
      </c>
      <c r="D34" s="58">
        <f>D16*$G16</f>
        <v>1737.9603623671801</v>
      </c>
    </row>
    <row r="35" spans="1:5" x14ac:dyDescent="0.25">
      <c r="A35" t="s">
        <v>298</v>
      </c>
      <c r="B35" s="58">
        <f t="shared" si="1"/>
        <v>0</v>
      </c>
      <c r="C35" s="58">
        <f t="shared" si="1"/>
        <v>0</v>
      </c>
      <c r="D35" s="58"/>
    </row>
    <row r="36" spans="1:5" x14ac:dyDescent="0.25">
      <c r="A36" t="s">
        <v>299</v>
      </c>
      <c r="B36" s="58">
        <f t="shared" si="1"/>
        <v>0</v>
      </c>
      <c r="C36" s="58">
        <f t="shared" si="1"/>
        <v>0</v>
      </c>
      <c r="D36" s="58"/>
    </row>
    <row r="37" spans="1:5" x14ac:dyDescent="0.25">
      <c r="A37" t="s">
        <v>284</v>
      </c>
      <c r="B37" s="58">
        <f t="shared" si="1"/>
        <v>0</v>
      </c>
      <c r="C37" s="58">
        <f t="shared" si="1"/>
        <v>0</v>
      </c>
      <c r="D37" s="58"/>
    </row>
    <row r="38" spans="1:5" x14ac:dyDescent="0.25">
      <c r="A38" t="s">
        <v>285</v>
      </c>
      <c r="B38" s="58">
        <f t="shared" si="1"/>
        <v>0</v>
      </c>
      <c r="C38" s="58">
        <f t="shared" si="1"/>
        <v>0</v>
      </c>
      <c r="D38" s="58"/>
    </row>
    <row r="39" spans="1:5" x14ac:dyDescent="0.25">
      <c r="A39" t="s">
        <v>300</v>
      </c>
      <c r="B39" s="58">
        <f t="shared" si="1"/>
        <v>0</v>
      </c>
      <c r="C39" s="58">
        <f t="shared" si="1"/>
        <v>0</v>
      </c>
      <c r="D39" s="58"/>
    </row>
    <row r="40" spans="1:5" x14ac:dyDescent="0.25">
      <c r="B40" s="130">
        <f>SUM(B26:B39)</f>
        <v>5491.3523104678698</v>
      </c>
      <c r="C40" s="130">
        <f>SUM(C26:C39)</f>
        <v>1948.5362105896875</v>
      </c>
      <c r="D40" s="130">
        <f>SUM(D26:D39)</f>
        <v>6511.5027394700273</v>
      </c>
      <c r="E40" s="111" t="s">
        <v>336</v>
      </c>
    </row>
    <row r="41" spans="1:5" x14ac:dyDescent="0.25">
      <c r="A41" s="217" t="s">
        <v>334</v>
      </c>
      <c r="B41" s="217"/>
      <c r="C41">
        <f>C40*C97</f>
        <v>3507.3651790614376</v>
      </c>
    </row>
    <row r="42" spans="1:5" x14ac:dyDescent="0.25">
      <c r="A42" s="52"/>
      <c r="B42" s="52"/>
    </row>
    <row r="43" spans="1:5" x14ac:dyDescent="0.25">
      <c r="A43" s="245" t="s">
        <v>335</v>
      </c>
      <c r="B43" s="245"/>
      <c r="C43" s="245"/>
      <c r="D43" s="130">
        <f>C41+D40</f>
        <v>10018.867918531465</v>
      </c>
      <c r="E43" t="s">
        <v>336</v>
      </c>
    </row>
    <row r="44" spans="1:5" x14ac:dyDescent="0.25">
      <c r="A44" s="112"/>
      <c r="B44" s="112"/>
      <c r="C44" s="112"/>
      <c r="D44" s="111"/>
    </row>
    <row r="45" spans="1:5" x14ac:dyDescent="0.25">
      <c r="A45" t="s">
        <v>301</v>
      </c>
    </row>
    <row r="46" spans="1:5" x14ac:dyDescent="0.25">
      <c r="A46" t="s">
        <v>293</v>
      </c>
      <c r="B46" t="s">
        <v>275</v>
      </c>
      <c r="C46" t="s">
        <v>276</v>
      </c>
      <c r="D46" t="s">
        <v>194</v>
      </c>
    </row>
    <row r="47" spans="1:5" x14ac:dyDescent="0.25">
      <c r="A47" t="s">
        <v>294</v>
      </c>
      <c r="B47" s="58">
        <f t="shared" ref="B47:D51" si="2">B8*$H8</f>
        <v>1918.9224999999999</v>
      </c>
      <c r="C47" s="58">
        <f>C8*$H8</f>
        <v>0</v>
      </c>
      <c r="D47" s="58">
        <f t="shared" si="2"/>
        <v>-100.47399999999993</v>
      </c>
    </row>
    <row r="48" spans="1:5" x14ac:dyDescent="0.25">
      <c r="A48" t="s">
        <v>44</v>
      </c>
      <c r="B48" s="58">
        <f t="shared" si="2"/>
        <v>1989.5645</v>
      </c>
      <c r="C48" s="58">
        <f t="shared" si="2"/>
        <v>0</v>
      </c>
      <c r="D48" s="58">
        <f t="shared" si="2"/>
        <v>0</v>
      </c>
    </row>
    <row r="49" spans="1:5" x14ac:dyDescent="0.25">
      <c r="A49" t="s">
        <v>295</v>
      </c>
      <c r="B49" s="58">
        <f t="shared" si="2"/>
        <v>247.5</v>
      </c>
      <c r="C49" s="58">
        <f t="shared" si="2"/>
        <v>0</v>
      </c>
      <c r="D49" s="58">
        <f t="shared" si="2"/>
        <v>0</v>
      </c>
    </row>
    <row r="50" spans="1:5" x14ac:dyDescent="0.25">
      <c r="A50" t="s">
        <v>296</v>
      </c>
      <c r="B50" s="58">
        <f t="shared" si="2"/>
        <v>803.32400000000007</v>
      </c>
      <c r="C50" s="58">
        <f t="shared" si="2"/>
        <v>0</v>
      </c>
      <c r="D50" s="58">
        <f t="shared" si="2"/>
        <v>0</v>
      </c>
    </row>
    <row r="51" spans="1:5" x14ac:dyDescent="0.25">
      <c r="A51" t="s">
        <v>286</v>
      </c>
      <c r="B51" s="58">
        <f t="shared" si="2"/>
        <v>0</v>
      </c>
      <c r="C51" s="58">
        <f t="shared" si="2"/>
        <v>1284.4613474742855</v>
      </c>
      <c r="D51" s="58">
        <f t="shared" si="2"/>
        <v>3878.8163771028476</v>
      </c>
    </row>
    <row r="52" spans="1:5" x14ac:dyDescent="0.25">
      <c r="A52" t="s">
        <v>297</v>
      </c>
      <c r="B52" s="58">
        <f t="shared" ref="B52:C60" si="3">B13*$H13</f>
        <v>532.04131046786961</v>
      </c>
      <c r="C52" s="58">
        <f t="shared" si="3"/>
        <v>0</v>
      </c>
      <c r="D52" s="58"/>
    </row>
    <row r="53" spans="1:5" x14ac:dyDescent="0.25">
      <c r="A53" t="s">
        <v>163</v>
      </c>
      <c r="B53" s="58">
        <f t="shared" si="3"/>
        <v>0</v>
      </c>
      <c r="C53" s="58">
        <f t="shared" si="3"/>
        <v>200</v>
      </c>
      <c r="D53" s="58">
        <f>D14*$H14</f>
        <v>995.2</v>
      </c>
    </row>
    <row r="54" spans="1:5" x14ac:dyDescent="0.25">
      <c r="A54" t="s">
        <v>164</v>
      </c>
      <c r="B54" s="58">
        <f t="shared" si="3"/>
        <v>0</v>
      </c>
      <c r="C54" s="58">
        <f t="shared" si="3"/>
        <v>0</v>
      </c>
      <c r="D54" s="58">
        <f>D15*$H15</f>
        <v>0</v>
      </c>
    </row>
    <row r="55" spans="1:5" x14ac:dyDescent="0.25">
      <c r="A55" t="s">
        <v>281</v>
      </c>
      <c r="B55" s="58">
        <f t="shared" si="3"/>
        <v>0</v>
      </c>
      <c r="C55" s="58">
        <f t="shared" si="3"/>
        <v>464.07486311540191</v>
      </c>
      <c r="D55" s="58">
        <f>D16*$H16</f>
        <v>1737.9603623671801</v>
      </c>
    </row>
    <row r="56" spans="1:5" x14ac:dyDescent="0.25">
      <c r="A56" t="s">
        <v>298</v>
      </c>
      <c r="B56" s="58">
        <f t="shared" si="3"/>
        <v>0</v>
      </c>
      <c r="C56" s="58">
        <f t="shared" si="3"/>
        <v>0</v>
      </c>
      <c r="D56" s="58"/>
    </row>
    <row r="57" spans="1:5" x14ac:dyDescent="0.25">
      <c r="A57" t="s">
        <v>299</v>
      </c>
      <c r="B57" s="58">
        <f t="shared" si="3"/>
        <v>0</v>
      </c>
      <c r="C57" s="58">
        <f t="shared" si="3"/>
        <v>335.55967499999997</v>
      </c>
      <c r="D57" s="58">
        <f>D18*$H18</f>
        <v>2230.9125726249999</v>
      </c>
    </row>
    <row r="58" spans="1:5" x14ac:dyDescent="0.25">
      <c r="A58" t="s">
        <v>284</v>
      </c>
      <c r="B58" s="58">
        <f t="shared" si="3"/>
        <v>0</v>
      </c>
      <c r="C58" s="58">
        <f t="shared" si="3"/>
        <v>287.83837499999998</v>
      </c>
      <c r="D58" s="58">
        <f>D19*$H19</f>
        <v>0</v>
      </c>
    </row>
    <row r="59" spans="1:5" x14ac:dyDescent="0.25">
      <c r="A59" t="s">
        <v>285</v>
      </c>
      <c r="B59" s="58">
        <f t="shared" si="3"/>
        <v>0</v>
      </c>
      <c r="C59" s="58">
        <f t="shared" si="3"/>
        <v>832.52196168143939</v>
      </c>
      <c r="D59" s="58">
        <f>D20*$H20</f>
        <v>2992.916452244775</v>
      </c>
    </row>
    <row r="60" spans="1:5" x14ac:dyDescent="0.25">
      <c r="A60" t="s">
        <v>300</v>
      </c>
      <c r="B60" s="58">
        <f t="shared" si="3"/>
        <v>0</v>
      </c>
      <c r="C60" s="58">
        <f t="shared" si="3"/>
        <v>277.89328345416612</v>
      </c>
      <c r="D60" s="58">
        <f>D21*$H21</f>
        <v>1040.7103465358521</v>
      </c>
    </row>
    <row r="61" spans="1:5" x14ac:dyDescent="0.25">
      <c r="B61" s="130">
        <f>SUM(B47:B60)</f>
        <v>5491.3523104678698</v>
      </c>
      <c r="C61" s="130">
        <f t="shared" ref="C61" si="4">SUM(C47:C60)</f>
        <v>3682.3495057252926</v>
      </c>
      <c r="D61" s="130">
        <f>SUM(D47:D60)</f>
        <v>12776.042110875655</v>
      </c>
      <c r="E61" s="111"/>
    </row>
    <row r="62" spans="1:5" x14ac:dyDescent="0.25">
      <c r="A62" s="217" t="s">
        <v>337</v>
      </c>
      <c r="B62" s="217"/>
      <c r="C62">
        <f>C61*C97</f>
        <v>6628.2291103055268</v>
      </c>
    </row>
    <row r="64" spans="1:5" x14ac:dyDescent="0.25">
      <c r="A64" s="217" t="s">
        <v>338</v>
      </c>
      <c r="B64" s="217"/>
      <c r="C64" s="217"/>
      <c r="D64" s="111">
        <f>C62+D61</f>
        <v>19404.271221181181</v>
      </c>
      <c r="E64" t="s">
        <v>336</v>
      </c>
    </row>
    <row r="65" spans="1:4" x14ac:dyDescent="0.25">
      <c r="A65" s="52"/>
      <c r="B65" s="52"/>
      <c r="C65" s="52"/>
    </row>
    <row r="66" spans="1:4" x14ac:dyDescent="0.25">
      <c r="A66" s="52"/>
      <c r="B66" s="52"/>
      <c r="C66" s="52"/>
    </row>
    <row r="67" spans="1:4" x14ac:dyDescent="0.25">
      <c r="A67" t="s">
        <v>302</v>
      </c>
    </row>
    <row r="68" spans="1:4" x14ac:dyDescent="0.25">
      <c r="A68" t="s">
        <v>293</v>
      </c>
      <c r="B68" t="s">
        <v>275</v>
      </c>
      <c r="C68" t="s">
        <v>276</v>
      </c>
      <c r="D68" t="s">
        <v>277</v>
      </c>
    </row>
    <row r="69" spans="1:4" x14ac:dyDescent="0.25">
      <c r="A69" s="70" t="s">
        <v>294</v>
      </c>
      <c r="B69" s="70">
        <f t="shared" ref="B69:B82" si="5">B8*I8</f>
        <v>1918.9224999999999</v>
      </c>
      <c r="C69" s="70">
        <f t="shared" ref="C69:D73" si="6">C8*$I8</f>
        <v>0</v>
      </c>
      <c r="D69" s="70">
        <f t="shared" si="6"/>
        <v>-100.47399999999993</v>
      </c>
    </row>
    <row r="70" spans="1:4" x14ac:dyDescent="0.25">
      <c r="A70" s="70" t="s">
        <v>44</v>
      </c>
      <c r="B70" s="70">
        <f t="shared" si="5"/>
        <v>1989.5645</v>
      </c>
      <c r="C70" s="70">
        <f t="shared" si="6"/>
        <v>0</v>
      </c>
      <c r="D70" s="70">
        <f t="shared" si="6"/>
        <v>0</v>
      </c>
    </row>
    <row r="71" spans="1:4" x14ac:dyDescent="0.25">
      <c r="A71" s="70" t="s">
        <v>295</v>
      </c>
      <c r="B71" s="70">
        <f t="shared" si="5"/>
        <v>247.5</v>
      </c>
      <c r="C71" s="70">
        <f t="shared" si="6"/>
        <v>0</v>
      </c>
      <c r="D71" s="70">
        <f t="shared" si="6"/>
        <v>0</v>
      </c>
    </row>
    <row r="72" spans="1:4" x14ac:dyDescent="0.25">
      <c r="A72" s="70" t="s">
        <v>296</v>
      </c>
      <c r="B72" s="70">
        <f t="shared" si="5"/>
        <v>0</v>
      </c>
      <c r="C72" s="70">
        <f t="shared" si="6"/>
        <v>0</v>
      </c>
      <c r="D72" s="70">
        <f t="shared" si="6"/>
        <v>0</v>
      </c>
    </row>
    <row r="73" spans="1:4" x14ac:dyDescent="0.25">
      <c r="A73" s="70" t="s">
        <v>286</v>
      </c>
      <c r="B73" s="70">
        <f t="shared" si="5"/>
        <v>0</v>
      </c>
      <c r="C73" s="70">
        <f t="shared" si="6"/>
        <v>1284.4613474742855</v>
      </c>
      <c r="D73" s="70">
        <f t="shared" si="6"/>
        <v>3878.8163771028476</v>
      </c>
    </row>
    <row r="74" spans="1:4" x14ac:dyDescent="0.25">
      <c r="A74" s="70" t="s">
        <v>297</v>
      </c>
      <c r="B74" s="70">
        <f t="shared" si="5"/>
        <v>532.04131046786961</v>
      </c>
      <c r="C74" s="70">
        <f t="shared" ref="C74:C82" si="7">C13*$I13</f>
        <v>0</v>
      </c>
      <c r="D74" s="70">
        <f>D13*I13</f>
        <v>-319.22478628072173</v>
      </c>
    </row>
    <row r="75" spans="1:4" x14ac:dyDescent="0.25">
      <c r="A75" s="70" t="s">
        <v>163</v>
      </c>
      <c r="B75" s="70">
        <f t="shared" si="5"/>
        <v>0</v>
      </c>
      <c r="C75" s="70">
        <f t="shared" si="7"/>
        <v>0</v>
      </c>
      <c r="D75" s="70">
        <f>D14*$I14</f>
        <v>0</v>
      </c>
    </row>
    <row r="76" spans="1:4" x14ac:dyDescent="0.25">
      <c r="A76" s="70" t="s">
        <v>164</v>
      </c>
      <c r="B76" s="70">
        <f t="shared" si="5"/>
        <v>0</v>
      </c>
      <c r="C76" s="70">
        <f t="shared" si="7"/>
        <v>0</v>
      </c>
      <c r="D76" s="70">
        <f>D15*$I15</f>
        <v>0</v>
      </c>
    </row>
    <row r="77" spans="1:4" x14ac:dyDescent="0.25">
      <c r="A77" s="70" t="s">
        <v>281</v>
      </c>
      <c r="B77" s="70">
        <f t="shared" si="5"/>
        <v>0</v>
      </c>
      <c r="C77" s="70">
        <f t="shared" si="7"/>
        <v>0</v>
      </c>
      <c r="D77" s="70">
        <f>D16*$I16</f>
        <v>0</v>
      </c>
    </row>
    <row r="78" spans="1:4" x14ac:dyDescent="0.25">
      <c r="A78" s="70" t="s">
        <v>298</v>
      </c>
      <c r="B78" s="70">
        <f t="shared" si="5"/>
        <v>0</v>
      </c>
      <c r="C78" s="70">
        <f t="shared" si="7"/>
        <v>0</v>
      </c>
      <c r="D78" s="70"/>
    </row>
    <row r="79" spans="1:4" x14ac:dyDescent="0.25">
      <c r="A79" s="70" t="s">
        <v>299</v>
      </c>
      <c r="B79" s="70">
        <f t="shared" si="5"/>
        <v>0</v>
      </c>
      <c r="C79" s="70">
        <f t="shared" si="7"/>
        <v>335.55967499999997</v>
      </c>
      <c r="D79" s="70">
        <f>D18*$I18</f>
        <v>2230.9125726249999</v>
      </c>
    </row>
    <row r="80" spans="1:4" x14ac:dyDescent="0.25">
      <c r="A80" s="70" t="s">
        <v>284</v>
      </c>
      <c r="B80" s="70">
        <f t="shared" si="5"/>
        <v>0</v>
      </c>
      <c r="C80" s="70">
        <f t="shared" si="7"/>
        <v>287.83837499999998</v>
      </c>
      <c r="D80" s="70">
        <f>D19*$I19</f>
        <v>0</v>
      </c>
    </row>
    <row r="81" spans="1:9" x14ac:dyDescent="0.25">
      <c r="A81" s="70" t="s">
        <v>285</v>
      </c>
      <c r="B81" s="70">
        <f t="shared" si="5"/>
        <v>0</v>
      </c>
      <c r="C81" s="70">
        <f t="shared" si="7"/>
        <v>832.52196168143939</v>
      </c>
      <c r="D81" s="70">
        <f>D20*$I20</f>
        <v>2992.916452244775</v>
      </c>
    </row>
    <row r="82" spans="1:9" x14ac:dyDescent="0.25">
      <c r="A82" s="70" t="s">
        <v>300</v>
      </c>
      <c r="B82" s="70">
        <f t="shared" si="5"/>
        <v>0</v>
      </c>
      <c r="C82" s="70">
        <f t="shared" si="7"/>
        <v>0</v>
      </c>
      <c r="D82" s="70">
        <f>D21*$I21</f>
        <v>0</v>
      </c>
    </row>
    <row r="83" spans="1:9" x14ac:dyDescent="0.25">
      <c r="A83" s="70"/>
      <c r="B83" s="115">
        <f>SUM(B69:B82)</f>
        <v>4688.0283104678692</v>
      </c>
      <c r="C83" s="115">
        <f>SUM(C69:C82)</f>
        <v>2740.381359155725</v>
      </c>
      <c r="D83" s="115">
        <f>SUM(D69:D82)</f>
        <v>8682.9466156919007</v>
      </c>
      <c r="E83" s="111"/>
    </row>
    <row r="84" spans="1:9" x14ac:dyDescent="0.25">
      <c r="A84" s="250" t="s">
        <v>339</v>
      </c>
      <c r="B84" s="250"/>
      <c r="C84" s="70">
        <f>C83*C97</f>
        <v>4932.6864464803048</v>
      </c>
      <c r="D84" s="70"/>
    </row>
    <row r="85" spans="1:9" x14ac:dyDescent="0.25">
      <c r="A85" s="52"/>
      <c r="B85" s="52"/>
    </row>
    <row r="86" spans="1:9" x14ac:dyDescent="0.25">
      <c r="A86" s="217" t="s">
        <v>338</v>
      </c>
      <c r="B86" s="217"/>
      <c r="C86" s="217"/>
      <c r="D86" s="111">
        <f>C84+D83</f>
        <v>13615.633062172205</v>
      </c>
    </row>
    <row r="87" spans="1:9" x14ac:dyDescent="0.25">
      <c r="A87" s="52"/>
      <c r="B87" s="52"/>
      <c r="C87" s="52"/>
      <c r="D87" s="111"/>
    </row>
    <row r="88" spans="1:9" x14ac:dyDescent="0.25">
      <c r="A88" s="245" t="s">
        <v>303</v>
      </c>
      <c r="B88" s="245"/>
      <c r="C88" s="245"/>
    </row>
    <row r="89" spans="1:9" x14ac:dyDescent="0.25">
      <c r="B89" t="s">
        <v>304</v>
      </c>
      <c r="C89" t="s">
        <v>305</v>
      </c>
      <c r="D89" t="s">
        <v>277</v>
      </c>
    </row>
    <row r="90" spans="1:9" x14ac:dyDescent="0.25">
      <c r="A90" t="s">
        <v>289</v>
      </c>
      <c r="B90">
        <f>B40</f>
        <v>5491.3523104678698</v>
      </c>
      <c r="C90">
        <f>C40</f>
        <v>1948.5362105896875</v>
      </c>
      <c r="D90">
        <f>D43</f>
        <v>10018.867918531465</v>
      </c>
    </row>
    <row r="91" spans="1:9" x14ac:dyDescent="0.25">
      <c r="A91" t="s">
        <v>290</v>
      </c>
      <c r="B91">
        <f>B61</f>
        <v>5491.3523104678698</v>
      </c>
      <c r="C91">
        <f>C61</f>
        <v>3682.3495057252926</v>
      </c>
      <c r="D91">
        <f>D64</f>
        <v>19404.271221181181</v>
      </c>
    </row>
    <row r="92" spans="1:9" x14ac:dyDescent="0.25">
      <c r="A92" t="s">
        <v>291</v>
      </c>
      <c r="B92">
        <f>B83</f>
        <v>4688.0283104678692</v>
      </c>
      <c r="C92">
        <f>C83</f>
        <v>2740.381359155725</v>
      </c>
      <c r="D92">
        <f>D86</f>
        <v>13615.633062172205</v>
      </c>
    </row>
    <row r="96" spans="1:9" x14ac:dyDescent="0.25">
      <c r="A96" s="217" t="s">
        <v>306</v>
      </c>
      <c r="B96" s="217"/>
      <c r="C96" s="217"/>
      <c r="D96" s="217"/>
      <c r="F96" s="217" t="s">
        <v>308</v>
      </c>
      <c r="G96" s="217"/>
      <c r="H96" s="217"/>
      <c r="I96" s="217"/>
    </row>
    <row r="97" spans="1:10" x14ac:dyDescent="0.25">
      <c r="A97" s="217" t="s">
        <v>307</v>
      </c>
      <c r="B97" s="217"/>
      <c r="C97">
        <v>1.8</v>
      </c>
      <c r="D97" t="s">
        <v>19</v>
      </c>
      <c r="G97" t="s">
        <v>312</v>
      </c>
    </row>
    <row r="98" spans="1:10" x14ac:dyDescent="0.25">
      <c r="A98" s="217" t="s">
        <v>310</v>
      </c>
      <c r="B98" s="217"/>
      <c r="C98">
        <v>11.4</v>
      </c>
      <c r="D98" t="s">
        <v>19</v>
      </c>
      <c r="G98" s="217" t="s">
        <v>323</v>
      </c>
      <c r="H98" s="217"/>
      <c r="I98">
        <v>9</v>
      </c>
    </row>
    <row r="99" spans="1:10" x14ac:dyDescent="0.25">
      <c r="A99" s="217" t="s">
        <v>311</v>
      </c>
      <c r="B99" s="217"/>
      <c r="C99">
        <v>11.4</v>
      </c>
      <c r="D99" t="s">
        <v>19</v>
      </c>
      <c r="G99" s="217" t="s">
        <v>321</v>
      </c>
      <c r="H99" s="217"/>
      <c r="I99">
        <v>23</v>
      </c>
      <c r="J99" t="s">
        <v>19</v>
      </c>
    </row>
    <row r="100" spans="1:10" x14ac:dyDescent="0.25">
      <c r="A100" s="217" t="s">
        <v>309</v>
      </c>
      <c r="B100" s="217"/>
      <c r="C100">
        <v>1.5</v>
      </c>
      <c r="D100" t="s">
        <v>19</v>
      </c>
      <c r="G100" s="217" t="s">
        <v>322</v>
      </c>
      <c r="H100" s="217"/>
      <c r="I100">
        <v>1.2</v>
      </c>
      <c r="J100" t="s">
        <v>19</v>
      </c>
    </row>
    <row r="103" spans="1:10" x14ac:dyDescent="0.25">
      <c r="A103" s="217" t="s">
        <v>313</v>
      </c>
      <c r="B103" s="217"/>
      <c r="C103">
        <f>C97*C98*C99*25</f>
        <v>5848.2</v>
      </c>
      <c r="D103" t="s">
        <v>81</v>
      </c>
    </row>
    <row r="104" spans="1:10" x14ac:dyDescent="0.25">
      <c r="A104" s="217" t="s">
        <v>314</v>
      </c>
      <c r="B104" s="217"/>
      <c r="C104">
        <f>PI()*I100^2*I99*25*I98/4</f>
        <v>5852.7871136377853</v>
      </c>
      <c r="D104" t="s">
        <v>81</v>
      </c>
    </row>
    <row r="106" spans="1:10" ht="16.2" x14ac:dyDescent="0.25">
      <c r="A106" t="s">
        <v>315</v>
      </c>
      <c r="B106" t="s">
        <v>316</v>
      </c>
      <c r="C106" t="s">
        <v>317</v>
      </c>
      <c r="D106" t="s">
        <v>318</v>
      </c>
      <c r="E106" t="s">
        <v>319</v>
      </c>
    </row>
    <row r="107" spans="1:10" x14ac:dyDescent="0.25">
      <c r="A107">
        <v>1</v>
      </c>
      <c r="B107">
        <v>0</v>
      </c>
      <c r="C107">
        <v>0</v>
      </c>
      <c r="D107">
        <f>$B107*$B107</f>
        <v>0</v>
      </c>
      <c r="E107">
        <f>C107*C107</f>
        <v>0</v>
      </c>
    </row>
    <row r="108" spans="1:10" x14ac:dyDescent="0.25">
      <c r="A108">
        <v>2</v>
      </c>
      <c r="B108">
        <v>4.2</v>
      </c>
      <c r="C108">
        <v>0</v>
      </c>
      <c r="D108">
        <f t="shared" ref="D108:D115" si="8">$B108*$B108</f>
        <v>17.64</v>
      </c>
      <c r="E108">
        <f t="shared" ref="E108:E115" si="9">C108*C108</f>
        <v>0</v>
      </c>
    </row>
    <row r="109" spans="1:10" x14ac:dyDescent="0.25">
      <c r="A109">
        <v>3</v>
      </c>
      <c r="B109">
        <v>-4.2</v>
      </c>
      <c r="C109">
        <v>0</v>
      </c>
      <c r="D109">
        <f t="shared" si="8"/>
        <v>17.64</v>
      </c>
      <c r="E109">
        <f t="shared" si="9"/>
        <v>0</v>
      </c>
    </row>
    <row r="110" spans="1:10" x14ac:dyDescent="0.25">
      <c r="A110">
        <v>4</v>
      </c>
      <c r="B110">
        <v>0</v>
      </c>
      <c r="C110">
        <v>4.2</v>
      </c>
      <c r="D110">
        <f t="shared" si="8"/>
        <v>0</v>
      </c>
      <c r="E110">
        <f t="shared" si="9"/>
        <v>17.64</v>
      </c>
    </row>
    <row r="111" spans="1:10" x14ac:dyDescent="0.25">
      <c r="A111">
        <v>5</v>
      </c>
      <c r="B111">
        <v>4.2</v>
      </c>
      <c r="C111">
        <v>4.2</v>
      </c>
      <c r="D111">
        <f t="shared" si="8"/>
        <v>17.64</v>
      </c>
      <c r="E111">
        <f t="shared" si="9"/>
        <v>17.64</v>
      </c>
    </row>
    <row r="112" spans="1:10" x14ac:dyDescent="0.25">
      <c r="A112">
        <v>6</v>
      </c>
      <c r="B112">
        <v>-4.2</v>
      </c>
      <c r="C112">
        <v>4.2</v>
      </c>
      <c r="D112">
        <f t="shared" si="8"/>
        <v>17.64</v>
      </c>
      <c r="E112">
        <f t="shared" si="9"/>
        <v>17.64</v>
      </c>
    </row>
    <row r="113" spans="1:5" x14ac:dyDescent="0.25">
      <c r="A113">
        <v>7</v>
      </c>
      <c r="B113">
        <v>0</v>
      </c>
      <c r="C113">
        <v>-4.2</v>
      </c>
      <c r="D113">
        <f t="shared" si="8"/>
        <v>0</v>
      </c>
      <c r="E113">
        <f t="shared" si="9"/>
        <v>17.64</v>
      </c>
    </row>
    <row r="114" spans="1:5" x14ac:dyDescent="0.25">
      <c r="A114">
        <v>8</v>
      </c>
      <c r="B114">
        <v>4.2</v>
      </c>
      <c r="C114">
        <v>-4.2</v>
      </c>
      <c r="D114">
        <f t="shared" si="8"/>
        <v>17.64</v>
      </c>
      <c r="E114">
        <f t="shared" si="9"/>
        <v>17.64</v>
      </c>
    </row>
    <row r="115" spans="1:5" x14ac:dyDescent="0.25">
      <c r="A115">
        <v>9</v>
      </c>
      <c r="B115">
        <v>-4.2</v>
      </c>
      <c r="C115">
        <v>-4.2</v>
      </c>
      <c r="D115">
        <f t="shared" si="8"/>
        <v>17.64</v>
      </c>
      <c r="E115">
        <f t="shared" si="9"/>
        <v>17.64</v>
      </c>
    </row>
    <row r="116" spans="1:5" x14ac:dyDescent="0.25">
      <c r="D116" s="57">
        <f>SUM(D107:D115)</f>
        <v>105.84</v>
      </c>
      <c r="E116">
        <f>SUM(E107:E115)</f>
        <v>105.84</v>
      </c>
    </row>
    <row r="118" spans="1:5" x14ac:dyDescent="0.25">
      <c r="A118" s="217" t="s">
        <v>320</v>
      </c>
      <c r="B118" s="217"/>
      <c r="C118" s="217"/>
      <c r="D118" s="217"/>
      <c r="E118" s="217"/>
    </row>
    <row r="119" spans="1:5" x14ac:dyDescent="0.25">
      <c r="A119" t="s">
        <v>324</v>
      </c>
    </row>
    <row r="120" spans="1:5" x14ac:dyDescent="0.25">
      <c r="A120" t="s">
        <v>325</v>
      </c>
      <c r="B120" t="s">
        <v>326</v>
      </c>
      <c r="C120" t="s">
        <v>277</v>
      </c>
      <c r="D120" t="s">
        <v>327</v>
      </c>
    </row>
    <row r="121" spans="1:5" x14ac:dyDescent="0.25">
      <c r="A121" s="70">
        <f>($B$90+$C$103+$C$104)/$I$98</f>
        <v>1910.2599360117392</v>
      </c>
      <c r="B121" s="70">
        <f>($C$90/$I$98)</f>
        <v>216.50402339885417</v>
      </c>
      <c r="C121" s="70">
        <f>$D$90/$E$116*B107</f>
        <v>0</v>
      </c>
      <c r="D121" s="70">
        <f>A121+C121</f>
        <v>1910.2599360117392</v>
      </c>
    </row>
    <row r="122" spans="1:5" x14ac:dyDescent="0.25">
      <c r="A122" s="70">
        <f t="shared" ref="A122:A129" si="10">($B$90+$C$103+$C$104)/$I$98</f>
        <v>1910.2599360117392</v>
      </c>
      <c r="B122" s="70">
        <f t="shared" ref="B122:B129" si="11">($C$90/$I$98)</f>
        <v>216.50402339885417</v>
      </c>
      <c r="C122" s="70">
        <f t="shared" ref="C122:C129" si="12">$D$90/$E$116*B108</f>
        <v>397.57412375124864</v>
      </c>
      <c r="D122" s="70">
        <f t="shared" ref="D122:D129" si="13">A122+C122</f>
        <v>2307.8340597629876</v>
      </c>
    </row>
    <row r="123" spans="1:5" x14ac:dyDescent="0.25">
      <c r="A123" s="70">
        <f t="shared" si="10"/>
        <v>1910.2599360117392</v>
      </c>
      <c r="B123" s="70">
        <f t="shared" si="11"/>
        <v>216.50402339885417</v>
      </c>
      <c r="C123" s="70">
        <f t="shared" si="12"/>
        <v>-397.57412375124864</v>
      </c>
      <c r="D123" s="70">
        <f t="shared" si="13"/>
        <v>1512.6858122604906</v>
      </c>
    </row>
    <row r="124" spans="1:5" x14ac:dyDescent="0.25">
      <c r="A124" s="70">
        <f t="shared" si="10"/>
        <v>1910.2599360117392</v>
      </c>
      <c r="B124" s="70">
        <f t="shared" si="11"/>
        <v>216.50402339885417</v>
      </c>
      <c r="C124" s="70">
        <f t="shared" si="12"/>
        <v>0</v>
      </c>
      <c r="D124" s="70">
        <f t="shared" si="13"/>
        <v>1910.2599360117392</v>
      </c>
    </row>
    <row r="125" spans="1:5" x14ac:dyDescent="0.25">
      <c r="A125" s="70">
        <f t="shared" si="10"/>
        <v>1910.2599360117392</v>
      </c>
      <c r="B125" s="70">
        <f t="shared" si="11"/>
        <v>216.50402339885417</v>
      </c>
      <c r="C125" s="70">
        <f t="shared" si="12"/>
        <v>397.57412375124864</v>
      </c>
      <c r="D125" s="70">
        <f t="shared" si="13"/>
        <v>2307.8340597629876</v>
      </c>
    </row>
    <row r="126" spans="1:5" x14ac:dyDescent="0.25">
      <c r="A126" s="70">
        <f t="shared" si="10"/>
        <v>1910.2599360117392</v>
      </c>
      <c r="B126" s="70">
        <f t="shared" si="11"/>
        <v>216.50402339885417</v>
      </c>
      <c r="C126" s="70">
        <f t="shared" si="12"/>
        <v>-397.57412375124864</v>
      </c>
      <c r="D126" s="70">
        <f t="shared" si="13"/>
        <v>1512.6858122604906</v>
      </c>
    </row>
    <row r="127" spans="1:5" x14ac:dyDescent="0.25">
      <c r="A127" s="70">
        <f t="shared" si="10"/>
        <v>1910.2599360117392</v>
      </c>
      <c r="B127" s="70">
        <f t="shared" si="11"/>
        <v>216.50402339885417</v>
      </c>
      <c r="C127" s="70">
        <f t="shared" si="12"/>
        <v>0</v>
      </c>
      <c r="D127" s="70">
        <f t="shared" si="13"/>
        <v>1910.2599360117392</v>
      </c>
    </row>
    <row r="128" spans="1:5" x14ac:dyDescent="0.25">
      <c r="A128" s="70">
        <f t="shared" si="10"/>
        <v>1910.2599360117392</v>
      </c>
      <c r="B128" s="70">
        <f t="shared" si="11"/>
        <v>216.50402339885417</v>
      </c>
      <c r="C128" s="70">
        <f t="shared" si="12"/>
        <v>397.57412375124864</v>
      </c>
      <c r="D128" s="70">
        <f t="shared" si="13"/>
        <v>2307.8340597629876</v>
      </c>
    </row>
    <row r="129" spans="1:4" x14ac:dyDescent="0.25">
      <c r="A129" s="70">
        <f t="shared" si="10"/>
        <v>1910.2599360117392</v>
      </c>
      <c r="B129" s="70">
        <f t="shared" si="11"/>
        <v>216.50402339885417</v>
      </c>
      <c r="C129" s="70">
        <f t="shared" si="12"/>
        <v>-397.57412375124864</v>
      </c>
      <c r="D129" s="70">
        <f t="shared" si="13"/>
        <v>1512.6858122604906</v>
      </c>
    </row>
    <row r="133" spans="1:4" x14ac:dyDescent="0.25">
      <c r="A133" t="s">
        <v>328</v>
      </c>
    </row>
    <row r="134" spans="1:4" x14ac:dyDescent="0.25">
      <c r="A134" t="s">
        <v>325</v>
      </c>
      <c r="B134" t="s">
        <v>326</v>
      </c>
      <c r="C134" t="s">
        <v>277</v>
      </c>
      <c r="D134" t="s">
        <v>327</v>
      </c>
    </row>
    <row r="135" spans="1:4" x14ac:dyDescent="0.25">
      <c r="A135" s="70">
        <f>($B$91+$C$103+$C$104)/$I$98</f>
        <v>1910.2599360117392</v>
      </c>
      <c r="B135" s="70">
        <f>$C$91/$I$98</f>
        <v>409.14994508058805</v>
      </c>
      <c r="C135" s="70">
        <f>$D$91/$E$116*B107</f>
        <v>0</v>
      </c>
      <c r="D135" s="70">
        <f>A135+C135</f>
        <v>1910.2599360117392</v>
      </c>
    </row>
    <row r="136" spans="1:4" x14ac:dyDescent="0.25">
      <c r="A136" s="70">
        <f t="shared" ref="A136:A143" si="14">($B$91+$C$103+$C$104)/$I$98</f>
        <v>1910.2599360117392</v>
      </c>
      <c r="B136" s="70">
        <f t="shared" ref="B136:B143" si="15">$C$91/$I$98</f>
        <v>409.14994508058805</v>
      </c>
      <c r="C136" s="70">
        <f t="shared" ref="C136:C143" si="16">$D$91/$E$116*B108</f>
        <v>770.01076274528498</v>
      </c>
      <c r="D136" s="70">
        <f t="shared" ref="D136:D143" si="17">A136+C136</f>
        <v>2680.2706987570241</v>
      </c>
    </row>
    <row r="137" spans="1:4" x14ac:dyDescent="0.25">
      <c r="A137" s="70">
        <f t="shared" si="14"/>
        <v>1910.2599360117392</v>
      </c>
      <c r="B137" s="70">
        <f t="shared" si="15"/>
        <v>409.14994508058805</v>
      </c>
      <c r="C137" s="70">
        <f t="shared" si="16"/>
        <v>-770.01076274528498</v>
      </c>
      <c r="D137" s="70">
        <f t="shared" si="17"/>
        <v>1140.2491732664544</v>
      </c>
    </row>
    <row r="138" spans="1:4" x14ac:dyDescent="0.25">
      <c r="A138" s="70">
        <f t="shared" si="14"/>
        <v>1910.2599360117392</v>
      </c>
      <c r="B138" s="70">
        <f t="shared" si="15"/>
        <v>409.14994508058805</v>
      </c>
      <c r="C138" s="70">
        <f t="shared" si="16"/>
        <v>0</v>
      </c>
      <c r="D138" s="70">
        <f t="shared" si="17"/>
        <v>1910.2599360117392</v>
      </c>
    </row>
    <row r="139" spans="1:4" x14ac:dyDescent="0.25">
      <c r="A139" s="70">
        <f t="shared" si="14"/>
        <v>1910.2599360117392</v>
      </c>
      <c r="B139" s="70">
        <f t="shared" si="15"/>
        <v>409.14994508058805</v>
      </c>
      <c r="C139" s="70">
        <f t="shared" si="16"/>
        <v>770.01076274528498</v>
      </c>
      <c r="D139" s="70">
        <f t="shared" si="17"/>
        <v>2680.2706987570241</v>
      </c>
    </row>
    <row r="140" spans="1:4" x14ac:dyDescent="0.25">
      <c r="A140" s="70">
        <f t="shared" si="14"/>
        <v>1910.2599360117392</v>
      </c>
      <c r="B140" s="70">
        <f t="shared" si="15"/>
        <v>409.14994508058805</v>
      </c>
      <c r="C140" s="70">
        <f t="shared" si="16"/>
        <v>-770.01076274528498</v>
      </c>
      <c r="D140" s="70">
        <f t="shared" si="17"/>
        <v>1140.2491732664544</v>
      </c>
    </row>
    <row r="141" spans="1:4" x14ac:dyDescent="0.25">
      <c r="A141" s="70">
        <f t="shared" si="14"/>
        <v>1910.2599360117392</v>
      </c>
      <c r="B141" s="70">
        <f t="shared" si="15"/>
        <v>409.14994508058805</v>
      </c>
      <c r="C141" s="70">
        <f t="shared" si="16"/>
        <v>0</v>
      </c>
      <c r="D141" s="70">
        <f t="shared" si="17"/>
        <v>1910.2599360117392</v>
      </c>
    </row>
    <row r="142" spans="1:4" x14ac:dyDescent="0.25">
      <c r="A142" s="70">
        <f t="shared" si="14"/>
        <v>1910.2599360117392</v>
      </c>
      <c r="B142" s="70">
        <f t="shared" si="15"/>
        <v>409.14994508058805</v>
      </c>
      <c r="C142" s="70">
        <f t="shared" si="16"/>
        <v>770.01076274528498</v>
      </c>
      <c r="D142" s="70">
        <f t="shared" si="17"/>
        <v>2680.2706987570241</v>
      </c>
    </row>
    <row r="143" spans="1:4" x14ac:dyDescent="0.25">
      <c r="A143" s="70">
        <f t="shared" si="14"/>
        <v>1910.2599360117392</v>
      </c>
      <c r="B143" s="70">
        <f t="shared" si="15"/>
        <v>409.14994508058805</v>
      </c>
      <c r="C143" s="70">
        <f t="shared" si="16"/>
        <v>-770.01076274528498</v>
      </c>
      <c r="D143" s="70">
        <f t="shared" si="17"/>
        <v>1140.2491732664544</v>
      </c>
    </row>
    <row r="148" spans="1:4" x14ac:dyDescent="0.25">
      <c r="A148" t="s">
        <v>329</v>
      </c>
    </row>
    <row r="149" spans="1:4" x14ac:dyDescent="0.25">
      <c r="A149" t="s">
        <v>325</v>
      </c>
      <c r="B149" t="s">
        <v>326</v>
      </c>
      <c r="C149" t="s">
        <v>277</v>
      </c>
      <c r="D149" t="s">
        <v>327</v>
      </c>
    </row>
    <row r="150" spans="1:4" x14ac:dyDescent="0.25">
      <c r="A150">
        <f>($B$92+$C$103+$C$104)/$I$98</f>
        <v>1821.0017137895168</v>
      </c>
      <c r="B150">
        <f>$C$92/$I$98</f>
        <v>304.48681768396943</v>
      </c>
      <c r="C150">
        <f>$D$92/$E$116*B107</f>
        <v>0</v>
      </c>
      <c r="D150">
        <f>A150+C150</f>
        <v>1821.0017137895168</v>
      </c>
    </row>
    <row r="151" spans="1:4" x14ac:dyDescent="0.25">
      <c r="A151">
        <f t="shared" ref="A151:A159" si="18">($B$92+$C$103+$C$104)/$I$98</f>
        <v>1821.0017137895168</v>
      </c>
      <c r="B151">
        <f t="shared" ref="B151:B159" si="19">$C$92/$I$98</f>
        <v>304.48681768396943</v>
      </c>
      <c r="C151">
        <f t="shared" ref="C151:C159" si="20">$D$92/$E$116*B108</f>
        <v>540.30289929254775</v>
      </c>
      <c r="D151">
        <f t="shared" ref="D151:D159" si="21">A151+C151</f>
        <v>2361.3046130820644</v>
      </c>
    </row>
    <row r="152" spans="1:4" x14ac:dyDescent="0.25">
      <c r="A152">
        <f t="shared" si="18"/>
        <v>1821.0017137895168</v>
      </c>
      <c r="B152">
        <f t="shared" si="19"/>
        <v>304.48681768396943</v>
      </c>
      <c r="C152">
        <f t="shared" si="20"/>
        <v>-540.30289929254775</v>
      </c>
      <c r="D152">
        <f t="shared" si="21"/>
        <v>1280.6988144969691</v>
      </c>
    </row>
    <row r="153" spans="1:4" x14ac:dyDescent="0.25">
      <c r="A153">
        <f t="shared" si="18"/>
        <v>1821.0017137895168</v>
      </c>
      <c r="B153">
        <f t="shared" si="19"/>
        <v>304.48681768396943</v>
      </c>
      <c r="C153">
        <f t="shared" si="20"/>
        <v>0</v>
      </c>
      <c r="D153">
        <f t="shared" si="21"/>
        <v>1821.0017137895168</v>
      </c>
    </row>
    <row r="154" spans="1:4" x14ac:dyDescent="0.25">
      <c r="A154">
        <f t="shared" si="18"/>
        <v>1821.0017137895168</v>
      </c>
      <c r="B154">
        <f t="shared" si="19"/>
        <v>304.48681768396943</v>
      </c>
      <c r="C154">
        <f t="shared" si="20"/>
        <v>540.30289929254775</v>
      </c>
      <c r="D154">
        <f t="shared" si="21"/>
        <v>2361.3046130820644</v>
      </c>
    </row>
    <row r="155" spans="1:4" x14ac:dyDescent="0.25">
      <c r="A155">
        <f t="shared" si="18"/>
        <v>1821.0017137895168</v>
      </c>
      <c r="B155">
        <f t="shared" si="19"/>
        <v>304.48681768396943</v>
      </c>
      <c r="C155">
        <f t="shared" si="20"/>
        <v>-540.30289929254775</v>
      </c>
      <c r="D155">
        <f t="shared" si="21"/>
        <v>1280.6988144969691</v>
      </c>
    </row>
    <row r="156" spans="1:4" x14ac:dyDescent="0.25">
      <c r="A156">
        <f t="shared" si="18"/>
        <v>1821.0017137895168</v>
      </c>
      <c r="B156">
        <f t="shared" si="19"/>
        <v>304.48681768396943</v>
      </c>
      <c r="C156">
        <f t="shared" si="20"/>
        <v>0</v>
      </c>
      <c r="D156">
        <f t="shared" si="21"/>
        <v>1821.0017137895168</v>
      </c>
    </row>
    <row r="157" spans="1:4" x14ac:dyDescent="0.25">
      <c r="A157">
        <f t="shared" si="18"/>
        <v>1821.0017137895168</v>
      </c>
      <c r="B157">
        <f t="shared" si="19"/>
        <v>304.48681768396943</v>
      </c>
      <c r="C157">
        <f t="shared" si="20"/>
        <v>540.30289929254775</v>
      </c>
      <c r="D157">
        <f t="shared" si="21"/>
        <v>2361.3046130820644</v>
      </c>
    </row>
    <row r="158" spans="1:4" x14ac:dyDescent="0.25">
      <c r="A158">
        <f t="shared" si="18"/>
        <v>1821.0017137895168</v>
      </c>
      <c r="B158">
        <f t="shared" si="19"/>
        <v>304.48681768396943</v>
      </c>
      <c r="C158">
        <f t="shared" si="20"/>
        <v>-540.30289929254775</v>
      </c>
      <c r="D158">
        <f t="shared" si="21"/>
        <v>1280.6988144969691</v>
      </c>
    </row>
    <row r="159" spans="1:4" x14ac:dyDescent="0.25">
      <c r="A159">
        <f t="shared" si="18"/>
        <v>1821.0017137895168</v>
      </c>
      <c r="B159">
        <f t="shared" si="19"/>
        <v>304.48681768396943</v>
      </c>
      <c r="C159">
        <f t="shared" si="20"/>
        <v>0</v>
      </c>
      <c r="D159">
        <f t="shared" si="21"/>
        <v>1821.0017137895168</v>
      </c>
    </row>
    <row r="162" spans="1:5" x14ac:dyDescent="0.25">
      <c r="A162" s="217" t="s">
        <v>330</v>
      </c>
      <c r="B162" s="217"/>
      <c r="C162" s="217"/>
      <c r="D162" s="217"/>
    </row>
    <row r="163" spans="1:5" x14ac:dyDescent="0.25">
      <c r="B163" t="s">
        <v>325</v>
      </c>
      <c r="C163" t="s">
        <v>305</v>
      </c>
    </row>
    <row r="164" spans="1:5" x14ac:dyDescent="0.25">
      <c r="A164" t="s">
        <v>331</v>
      </c>
      <c r="B164">
        <f>MAX(D121:D129)</f>
        <v>2307.8340597629876</v>
      </c>
      <c r="C164">
        <f>B121</f>
        <v>216.50402339885417</v>
      </c>
    </row>
    <row r="165" spans="1:5" x14ac:dyDescent="0.25">
      <c r="A165" t="s">
        <v>332</v>
      </c>
      <c r="B165" s="57">
        <f>MAX(D135:D143)</f>
        <v>2680.2706987570241</v>
      </c>
      <c r="C165">
        <f>B135</f>
        <v>409.14994508058805</v>
      </c>
    </row>
    <row r="166" spans="1:5" x14ac:dyDescent="0.25">
      <c r="A166" t="s">
        <v>333</v>
      </c>
      <c r="B166">
        <f>MAX(D150:D159)</f>
        <v>2361.3046130820644</v>
      </c>
      <c r="C166">
        <f>B150</f>
        <v>304.48681768396943</v>
      </c>
    </row>
    <row r="169" spans="1:5" x14ac:dyDescent="0.25">
      <c r="A169" s="245" t="s">
        <v>340</v>
      </c>
      <c r="B169" s="245"/>
      <c r="C169" s="245"/>
      <c r="D169" s="245"/>
      <c r="E169" s="245"/>
    </row>
    <row r="171" spans="1:5" x14ac:dyDescent="0.25">
      <c r="A171" s="217" t="s">
        <v>341</v>
      </c>
      <c r="B171" s="217"/>
      <c r="C171">
        <f>I99</f>
        <v>23</v>
      </c>
      <c r="D171" t="s">
        <v>19</v>
      </c>
    </row>
    <row r="172" spans="1:5" x14ac:dyDescent="0.25">
      <c r="A172" s="217" t="s">
        <v>342</v>
      </c>
      <c r="B172" s="217"/>
      <c r="C172">
        <f>I100</f>
        <v>1.2</v>
      </c>
      <c r="D172" t="s">
        <v>19</v>
      </c>
    </row>
    <row r="174" spans="1:5" x14ac:dyDescent="0.25">
      <c r="A174" s="245" t="s">
        <v>343</v>
      </c>
      <c r="B174" s="245"/>
      <c r="C174" s="245"/>
    </row>
    <row r="176" spans="1:5" x14ac:dyDescent="0.25">
      <c r="A176" s="217" t="s">
        <v>345</v>
      </c>
      <c r="B176" s="217"/>
      <c r="C176" s="217"/>
      <c r="D176">
        <v>2500</v>
      </c>
      <c r="E176" t="s">
        <v>344</v>
      </c>
    </row>
    <row r="178" spans="1:9" ht="16.2" x14ac:dyDescent="0.25">
      <c r="A178" s="217" t="s">
        <v>346</v>
      </c>
      <c r="B178" s="217"/>
      <c r="C178" s="217"/>
      <c r="D178" s="58">
        <f>1/4 *PI()*(C172/2)^4</f>
        <v>0.10178760197630929</v>
      </c>
      <c r="E178" t="s">
        <v>347</v>
      </c>
    </row>
    <row r="179" spans="1:9" x14ac:dyDescent="0.25">
      <c r="A179" s="217" t="s">
        <v>348</v>
      </c>
      <c r="B179" s="217"/>
      <c r="C179" s="217"/>
      <c r="D179">
        <f>(5000*SQRT('abutment design'!G10))*1000</f>
        <v>27386127.875258304</v>
      </c>
    </row>
    <row r="180" spans="1:9" x14ac:dyDescent="0.25">
      <c r="A180" s="217" t="s">
        <v>349</v>
      </c>
      <c r="B180" s="217"/>
      <c r="C180" s="217"/>
      <c r="D180" s="70">
        <f>(D178*D179/D176)^(1/5)</f>
        <v>4.0687134181674676</v>
      </c>
      <c r="E180" t="s">
        <v>19</v>
      </c>
      <c r="G180" s="113"/>
      <c r="H180" s="113" t="s">
        <v>356</v>
      </c>
      <c r="I180" s="113"/>
    </row>
    <row r="181" spans="1:9" x14ac:dyDescent="0.25">
      <c r="G181" s="113"/>
      <c r="H181" s="113">
        <v>0</v>
      </c>
      <c r="I181" s="114">
        <v>2.2000000000000002</v>
      </c>
    </row>
    <row r="182" spans="1:9" x14ac:dyDescent="0.25">
      <c r="C182" t="s">
        <v>350</v>
      </c>
      <c r="D182" s="70">
        <f>2*D180</f>
        <v>8.1374268363349351</v>
      </c>
      <c r="G182" s="113"/>
      <c r="H182" s="113">
        <v>2</v>
      </c>
      <c r="I182" s="114">
        <v>1.95</v>
      </c>
    </row>
    <row r="183" spans="1:9" x14ac:dyDescent="0.25">
      <c r="C183" t="s">
        <v>351</v>
      </c>
      <c r="D183" s="70">
        <f>4*D180</f>
        <v>16.27485367266987</v>
      </c>
      <c r="G183" s="113"/>
      <c r="H183" s="113">
        <v>4</v>
      </c>
      <c r="I183" s="114">
        <v>1.87</v>
      </c>
    </row>
    <row r="184" spans="1:9" x14ac:dyDescent="0.25">
      <c r="G184" s="113"/>
      <c r="H184" s="113">
        <v>6</v>
      </c>
      <c r="I184" s="114">
        <v>1.84</v>
      </c>
    </row>
    <row r="185" spans="1:9" x14ac:dyDescent="0.25">
      <c r="A185" s="217" t="s">
        <v>352</v>
      </c>
      <c r="B185" s="217"/>
      <c r="C185" s="217"/>
      <c r="D185">
        <f>C171</f>
        <v>23</v>
      </c>
      <c r="E185" t="s">
        <v>19</v>
      </c>
      <c r="G185" s="113"/>
      <c r="H185" s="113">
        <v>8</v>
      </c>
      <c r="I185" s="114">
        <v>1.825</v>
      </c>
    </row>
    <row r="186" spans="1:9" ht="16.2" x14ac:dyDescent="0.35">
      <c r="B186" s="217" t="s">
        <v>353</v>
      </c>
      <c r="C186" s="217"/>
      <c r="D186">
        <v>9.44</v>
      </c>
      <c r="E186" t="s">
        <v>19</v>
      </c>
      <c r="G186" s="113"/>
      <c r="H186" s="113">
        <v>10</v>
      </c>
      <c r="I186" s="114">
        <v>1.82</v>
      </c>
    </row>
    <row r="187" spans="1:9" x14ac:dyDescent="0.25">
      <c r="B187" s="217" t="s">
        <v>354</v>
      </c>
      <c r="C187" s="217"/>
      <c r="D187" s="70">
        <f>D186/D180</f>
        <v>2.3201437481069234</v>
      </c>
    </row>
    <row r="188" spans="1:9" x14ac:dyDescent="0.25">
      <c r="B188" s="217" t="s">
        <v>357</v>
      </c>
      <c r="C188" s="217"/>
    </row>
    <row r="189" spans="1:9" x14ac:dyDescent="0.25">
      <c r="B189" s="217" t="s">
        <v>355</v>
      </c>
      <c r="C189" s="217"/>
      <c r="D189">
        <v>1.95</v>
      </c>
    </row>
    <row r="190" spans="1:9" x14ac:dyDescent="0.25">
      <c r="B190" s="217" t="s">
        <v>358</v>
      </c>
      <c r="C190" s="217"/>
      <c r="D190" s="70">
        <f>D189*D180</f>
        <v>7.9339911654265611</v>
      </c>
    </row>
    <row r="192" spans="1:9" x14ac:dyDescent="0.25">
      <c r="A192" s="217" t="s">
        <v>359</v>
      </c>
      <c r="B192" s="217"/>
      <c r="C192" s="217"/>
      <c r="E192" s="217" t="s">
        <v>360</v>
      </c>
      <c r="F192" s="217"/>
    </row>
    <row r="194" spans="1:18" x14ac:dyDescent="0.25">
      <c r="A194" t="s">
        <v>410</v>
      </c>
      <c r="B194" t="s">
        <v>409</v>
      </c>
      <c r="E194" t="s">
        <v>361</v>
      </c>
      <c r="F194" t="s">
        <v>362</v>
      </c>
    </row>
    <row r="195" spans="1:18" x14ac:dyDescent="0.25">
      <c r="A195">
        <f t="shared" ref="A195:B197" si="22">B164</f>
        <v>2307.8340597629876</v>
      </c>
      <c r="B195">
        <f t="shared" si="22"/>
        <v>216.50402339885417</v>
      </c>
      <c r="E195">
        <f>(B195*(($D$186+$D$190)^3)/(12*$D$179*$D$178))</f>
        <v>3.394360772939576E-2</v>
      </c>
      <c r="F195">
        <f>B195*0.5*($D$186+$D$190)</f>
        <v>1880.7694949054987</v>
      </c>
    </row>
    <row r="196" spans="1:18" x14ac:dyDescent="0.25">
      <c r="A196">
        <f t="shared" si="22"/>
        <v>2680.2706987570241</v>
      </c>
      <c r="B196">
        <f t="shared" si="22"/>
        <v>409.14994508058805</v>
      </c>
      <c r="E196">
        <f>(B196*(($D$186+$D$190)^3)/(12*$D$179*$D$178))</f>
        <v>6.4146730487008585E-2</v>
      </c>
      <c r="F196">
        <f>B196*0.5*($D$186+$D$190)</f>
        <v>3554.2837655824496</v>
      </c>
    </row>
    <row r="197" spans="1:18" x14ac:dyDescent="0.25">
      <c r="A197">
        <f t="shared" si="22"/>
        <v>2361.3046130820644</v>
      </c>
      <c r="B197">
        <f t="shared" si="22"/>
        <v>304.48681768396943</v>
      </c>
      <c r="E197">
        <f>(B197*(($D$186+$D$190)^3)/(12*$D$179*$D$178))</f>
        <v>4.7737593676013886E-2</v>
      </c>
      <c r="F197">
        <f>B197*0.5*($D$186+$D$190)</f>
        <v>2645.0756402150664</v>
      </c>
    </row>
    <row r="199" spans="1:18" x14ac:dyDescent="0.25">
      <c r="A199" s="245" t="s">
        <v>363</v>
      </c>
      <c r="B199" s="245"/>
      <c r="C199" s="245"/>
      <c r="D199" s="245"/>
    </row>
    <row r="201" spans="1:18" ht="16.2" x14ac:dyDescent="0.25">
      <c r="A201" s="217" t="s">
        <v>364</v>
      </c>
      <c r="B201" s="217"/>
      <c r="C201">
        <v>20</v>
      </c>
      <c r="D201" t="s">
        <v>138</v>
      </c>
      <c r="E201" s="217" t="s">
        <v>50</v>
      </c>
      <c r="F201" s="217"/>
      <c r="G201">
        <v>23</v>
      </c>
      <c r="H201" t="s">
        <v>60</v>
      </c>
    </row>
    <row r="202" spans="1:18" ht="17.399999999999999" x14ac:dyDescent="0.35">
      <c r="A202" s="217" t="s">
        <v>395</v>
      </c>
      <c r="B202" s="217"/>
      <c r="C202" s="107">
        <v>0.309</v>
      </c>
      <c r="E202" s="217" t="s">
        <v>369</v>
      </c>
      <c r="F202" s="217"/>
      <c r="G202" s="70">
        <f>(PI()/4)*C204^2</f>
        <v>1.1309733552923256</v>
      </c>
      <c r="H202" t="s">
        <v>371</v>
      </c>
    </row>
    <row r="203" spans="1:18" ht="16.2" x14ac:dyDescent="0.25">
      <c r="A203" s="217" t="s">
        <v>365</v>
      </c>
      <c r="B203" s="217"/>
      <c r="C203" s="58">
        <f>TAN(G201*PI()/180)</f>
        <v>0.4244748162096047</v>
      </c>
      <c r="E203" s="217" t="s">
        <v>370</v>
      </c>
      <c r="F203" s="217"/>
      <c r="G203">
        <f>C204*PI()*C205</f>
        <v>86.707957239078297</v>
      </c>
      <c r="H203" t="s">
        <v>371</v>
      </c>
    </row>
    <row r="204" spans="1:18" x14ac:dyDescent="0.25">
      <c r="A204" s="217" t="s">
        <v>367</v>
      </c>
      <c r="B204" s="217"/>
      <c r="C204">
        <f>C172</f>
        <v>1.2</v>
      </c>
      <c r="D204" t="s">
        <v>19</v>
      </c>
      <c r="E204" s="217"/>
      <c r="F204" s="217"/>
    </row>
    <row r="205" spans="1:18" x14ac:dyDescent="0.25">
      <c r="A205" s="217" t="s">
        <v>368</v>
      </c>
      <c r="B205" s="217"/>
      <c r="C205">
        <f>C171</f>
        <v>23</v>
      </c>
      <c r="D205" t="s">
        <v>19</v>
      </c>
    </row>
    <row r="206" spans="1:18" x14ac:dyDescent="0.25">
      <c r="A206" s="217" t="s">
        <v>366</v>
      </c>
      <c r="B206" s="217"/>
      <c r="C206" s="217"/>
      <c r="D206" s="217"/>
      <c r="E206" s="217"/>
      <c r="F206" s="217"/>
    </row>
    <row r="208" spans="1:18" x14ac:dyDescent="0.25">
      <c r="A208" s="113"/>
      <c r="B208" s="113"/>
      <c r="C208" s="113"/>
      <c r="D208" s="248" t="s">
        <v>372</v>
      </c>
      <c r="E208" s="248" t="s">
        <v>85</v>
      </c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</row>
    <row r="209" spans="1:18" x14ac:dyDescent="0.25">
      <c r="A209" s="113"/>
      <c r="B209" s="113" t="s">
        <v>373</v>
      </c>
      <c r="C209" s="113"/>
      <c r="D209" s="248"/>
      <c r="E209" s="248"/>
      <c r="F209" s="113" t="s">
        <v>374</v>
      </c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</row>
    <row r="210" spans="1:18" x14ac:dyDescent="0.25">
      <c r="A210" s="113"/>
      <c r="B210" s="116">
        <v>0</v>
      </c>
      <c r="C210" s="117"/>
      <c r="D210" s="118">
        <f>B210*C201*C202</f>
        <v>0</v>
      </c>
      <c r="E210" s="117"/>
      <c r="F210" s="117"/>
      <c r="G210" s="113"/>
      <c r="H210" s="113"/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</row>
    <row r="211" spans="1:18" x14ac:dyDescent="0.25">
      <c r="A211" s="113"/>
      <c r="B211" s="116">
        <f>B210+0.5</f>
        <v>0.5</v>
      </c>
      <c r="C211" s="117"/>
      <c r="D211" s="118">
        <f>IF(B211&lt;=$D$186,0,B211*$C$201*$C$202)</f>
        <v>0</v>
      </c>
      <c r="E211" s="116">
        <f>AVERAGE(D210:D211)*PI()*$C$204*(B211-B210)</f>
        <v>0</v>
      </c>
      <c r="F211" s="116">
        <f>E211*$C$203</f>
        <v>0</v>
      </c>
      <c r="G211" s="113"/>
      <c r="H211" s="113"/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</row>
    <row r="212" spans="1:18" x14ac:dyDescent="0.25">
      <c r="A212" s="113"/>
      <c r="B212" s="116">
        <f t="shared" ref="B212:B250" si="23">B211+0.5</f>
        <v>1</v>
      </c>
      <c r="C212" s="117"/>
      <c r="D212" s="118">
        <f t="shared" ref="D212:D246" si="24">IF(B212&lt;=$D$186,0,B212*$C$201*$C$202)</f>
        <v>0</v>
      </c>
      <c r="E212" s="116">
        <f>AVERAGE(D211:D212)*PI()*$C$204*(B212-B211)</f>
        <v>0</v>
      </c>
      <c r="F212" s="116">
        <f t="shared" ref="F212:F256" si="25">E212*$C$203</f>
        <v>0</v>
      </c>
      <c r="G212" s="113"/>
      <c r="H212" s="113"/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</row>
    <row r="213" spans="1:18" x14ac:dyDescent="0.25">
      <c r="A213" s="113"/>
      <c r="B213" s="116">
        <f t="shared" si="23"/>
        <v>1.5</v>
      </c>
      <c r="C213" s="117"/>
      <c r="D213" s="118">
        <f t="shared" si="24"/>
        <v>0</v>
      </c>
      <c r="E213" s="116">
        <f t="shared" ref="E213:E250" si="26">AVERAGE(D212:D213)*PI()*$C$204*(B213-B212)</f>
        <v>0</v>
      </c>
      <c r="F213" s="116">
        <f t="shared" si="25"/>
        <v>0</v>
      </c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</row>
    <row r="214" spans="1:18" x14ac:dyDescent="0.25">
      <c r="A214" s="113"/>
      <c r="B214" s="116">
        <f t="shared" si="23"/>
        <v>2</v>
      </c>
      <c r="C214" s="117"/>
      <c r="D214" s="118">
        <f t="shared" si="24"/>
        <v>0</v>
      </c>
      <c r="E214" s="116">
        <f t="shared" si="26"/>
        <v>0</v>
      </c>
      <c r="F214" s="116">
        <f>E214*$C$203</f>
        <v>0</v>
      </c>
      <c r="G214" s="113"/>
      <c r="H214" s="113"/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</row>
    <row r="215" spans="1:18" x14ac:dyDescent="0.25">
      <c r="A215" s="113"/>
      <c r="B215" s="116">
        <f t="shared" si="23"/>
        <v>2.5</v>
      </c>
      <c r="C215" s="117"/>
      <c r="D215" s="118">
        <f t="shared" si="24"/>
        <v>0</v>
      </c>
      <c r="E215" s="116">
        <f t="shared" si="26"/>
        <v>0</v>
      </c>
      <c r="F215" s="116">
        <f t="shared" si="25"/>
        <v>0</v>
      </c>
      <c r="G215" s="113"/>
      <c r="H215" s="113"/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</row>
    <row r="216" spans="1:18" x14ac:dyDescent="0.25">
      <c r="A216" s="113"/>
      <c r="B216" s="116">
        <f t="shared" si="23"/>
        <v>3</v>
      </c>
      <c r="C216" s="117"/>
      <c r="D216" s="118">
        <f t="shared" si="24"/>
        <v>0</v>
      </c>
      <c r="E216" s="116">
        <f t="shared" si="26"/>
        <v>0</v>
      </c>
      <c r="F216" s="116">
        <f t="shared" si="25"/>
        <v>0</v>
      </c>
      <c r="G216" s="113"/>
      <c r="H216" s="113"/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</row>
    <row r="217" spans="1:18" x14ac:dyDescent="0.25">
      <c r="A217" s="113"/>
      <c r="B217" s="116">
        <f t="shared" si="23"/>
        <v>3.5</v>
      </c>
      <c r="C217" s="117"/>
      <c r="D217" s="118">
        <f t="shared" si="24"/>
        <v>0</v>
      </c>
      <c r="E217" s="116">
        <f t="shared" si="26"/>
        <v>0</v>
      </c>
      <c r="F217" s="116">
        <f t="shared" si="25"/>
        <v>0</v>
      </c>
      <c r="G217" s="113"/>
      <c r="H217" s="113"/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</row>
    <row r="218" spans="1:18" x14ac:dyDescent="0.25">
      <c r="A218" s="113"/>
      <c r="B218" s="116">
        <f t="shared" si="23"/>
        <v>4</v>
      </c>
      <c r="C218" s="117"/>
      <c r="D218" s="118">
        <f t="shared" si="24"/>
        <v>0</v>
      </c>
      <c r="E218" s="116">
        <f t="shared" si="26"/>
        <v>0</v>
      </c>
      <c r="F218" s="116">
        <f t="shared" si="25"/>
        <v>0</v>
      </c>
      <c r="G218" s="113"/>
      <c r="H218" s="113"/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</row>
    <row r="219" spans="1:18" x14ac:dyDescent="0.25">
      <c r="A219" s="113"/>
      <c r="B219" s="116">
        <f t="shared" si="23"/>
        <v>4.5</v>
      </c>
      <c r="C219" s="117"/>
      <c r="D219" s="118">
        <f t="shared" si="24"/>
        <v>0</v>
      </c>
      <c r="E219" s="116">
        <f t="shared" si="26"/>
        <v>0</v>
      </c>
      <c r="F219" s="116">
        <f t="shared" si="25"/>
        <v>0</v>
      </c>
      <c r="G219" s="113"/>
      <c r="H219" s="113"/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</row>
    <row r="220" spans="1:18" x14ac:dyDescent="0.25">
      <c r="A220" s="113"/>
      <c r="B220" s="116">
        <f t="shared" si="23"/>
        <v>5</v>
      </c>
      <c r="C220" s="117"/>
      <c r="D220" s="118">
        <f t="shared" si="24"/>
        <v>0</v>
      </c>
      <c r="E220" s="116">
        <f t="shared" si="26"/>
        <v>0</v>
      </c>
      <c r="F220" s="116">
        <f t="shared" si="25"/>
        <v>0</v>
      </c>
      <c r="G220" s="113"/>
      <c r="H220" s="113"/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</row>
    <row r="221" spans="1:18" x14ac:dyDescent="0.25">
      <c r="A221" s="113"/>
      <c r="B221" s="116">
        <f t="shared" si="23"/>
        <v>5.5</v>
      </c>
      <c r="C221" s="117"/>
      <c r="D221" s="118">
        <f t="shared" si="24"/>
        <v>0</v>
      </c>
      <c r="E221" s="116">
        <f t="shared" si="26"/>
        <v>0</v>
      </c>
      <c r="F221" s="116">
        <f t="shared" si="25"/>
        <v>0</v>
      </c>
      <c r="G221" s="113"/>
      <c r="H221" s="113"/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</row>
    <row r="222" spans="1:18" x14ac:dyDescent="0.25">
      <c r="A222" s="113"/>
      <c r="B222" s="116">
        <f t="shared" si="23"/>
        <v>6</v>
      </c>
      <c r="C222" s="117"/>
      <c r="D222" s="118">
        <f t="shared" si="24"/>
        <v>0</v>
      </c>
      <c r="E222" s="116">
        <f t="shared" si="26"/>
        <v>0</v>
      </c>
      <c r="F222" s="116">
        <f t="shared" si="25"/>
        <v>0</v>
      </c>
      <c r="G222" s="113"/>
      <c r="H222" s="119"/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</row>
    <row r="223" spans="1:18" x14ac:dyDescent="0.25">
      <c r="A223" s="113"/>
      <c r="B223" s="116">
        <f t="shared" si="23"/>
        <v>6.5</v>
      </c>
      <c r="C223" s="117"/>
      <c r="D223" s="118">
        <f t="shared" si="24"/>
        <v>0</v>
      </c>
      <c r="E223" s="116">
        <f t="shared" si="26"/>
        <v>0</v>
      </c>
      <c r="F223" s="116">
        <f t="shared" si="25"/>
        <v>0</v>
      </c>
      <c r="G223" s="113"/>
      <c r="H223" s="113"/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</row>
    <row r="224" spans="1:18" x14ac:dyDescent="0.25">
      <c r="A224" s="113"/>
      <c r="B224" s="116">
        <f t="shared" si="23"/>
        <v>7</v>
      </c>
      <c r="C224" s="117"/>
      <c r="D224" s="118">
        <f t="shared" si="24"/>
        <v>0</v>
      </c>
      <c r="E224" s="116">
        <f t="shared" si="26"/>
        <v>0</v>
      </c>
      <c r="F224" s="116">
        <f t="shared" si="25"/>
        <v>0</v>
      </c>
      <c r="G224" s="113"/>
      <c r="H224" s="113"/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</row>
    <row r="225" spans="1:18" x14ac:dyDescent="0.25">
      <c r="A225" s="113"/>
      <c r="B225" s="116">
        <f t="shared" si="23"/>
        <v>7.5</v>
      </c>
      <c r="C225" s="117"/>
      <c r="D225" s="118">
        <f t="shared" si="24"/>
        <v>0</v>
      </c>
      <c r="E225" s="116">
        <f t="shared" si="26"/>
        <v>0</v>
      </c>
      <c r="F225" s="116">
        <f t="shared" si="25"/>
        <v>0</v>
      </c>
      <c r="G225" s="113"/>
      <c r="H225" s="113"/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</row>
    <row r="226" spans="1:18" x14ac:dyDescent="0.25">
      <c r="A226" s="113"/>
      <c r="B226" s="116">
        <f t="shared" si="23"/>
        <v>8</v>
      </c>
      <c r="C226" s="117"/>
      <c r="D226" s="118">
        <f t="shared" si="24"/>
        <v>0</v>
      </c>
      <c r="E226" s="116">
        <f t="shared" si="26"/>
        <v>0</v>
      </c>
      <c r="F226" s="116">
        <f t="shared" si="25"/>
        <v>0</v>
      </c>
      <c r="G226" s="113"/>
      <c r="H226" s="113"/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</row>
    <row r="227" spans="1:18" x14ac:dyDescent="0.25">
      <c r="A227" s="113"/>
      <c r="B227" s="116">
        <f t="shared" si="23"/>
        <v>8.5</v>
      </c>
      <c r="C227" s="117"/>
      <c r="D227" s="118">
        <f t="shared" si="24"/>
        <v>0</v>
      </c>
      <c r="E227" s="116">
        <f t="shared" si="26"/>
        <v>0</v>
      </c>
      <c r="F227" s="116">
        <f t="shared" si="25"/>
        <v>0</v>
      </c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</row>
    <row r="228" spans="1:18" x14ac:dyDescent="0.25">
      <c r="A228" s="113"/>
      <c r="B228" s="116">
        <f t="shared" si="23"/>
        <v>9</v>
      </c>
      <c r="C228" s="117"/>
      <c r="D228" s="118">
        <f t="shared" si="24"/>
        <v>0</v>
      </c>
      <c r="E228" s="116">
        <f t="shared" si="26"/>
        <v>0</v>
      </c>
      <c r="F228" s="116">
        <f t="shared" si="25"/>
        <v>0</v>
      </c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</row>
    <row r="229" spans="1:18" x14ac:dyDescent="0.25">
      <c r="A229" s="113"/>
      <c r="B229" s="116">
        <f t="shared" si="23"/>
        <v>9.5</v>
      </c>
      <c r="C229" s="117"/>
      <c r="D229" s="118">
        <f t="shared" si="24"/>
        <v>58.71</v>
      </c>
      <c r="E229" s="116">
        <f t="shared" si="26"/>
        <v>55.332871407677025</v>
      </c>
      <c r="F229" s="116">
        <f t="shared" si="25"/>
        <v>23.487410421123396</v>
      </c>
      <c r="G229" s="113"/>
      <c r="H229" s="113"/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</row>
    <row r="230" spans="1:18" x14ac:dyDescent="0.25">
      <c r="A230" s="113"/>
      <c r="B230" s="116">
        <f t="shared" si="23"/>
        <v>10</v>
      </c>
      <c r="C230" s="117"/>
      <c r="D230" s="118">
        <f t="shared" si="24"/>
        <v>61.8</v>
      </c>
      <c r="E230" s="116">
        <f t="shared" si="26"/>
        <v>113.57799920523178</v>
      </c>
      <c r="F230" s="116">
        <f t="shared" si="25"/>
        <v>48.211000338095388</v>
      </c>
      <c r="G230" s="113"/>
      <c r="H230" s="113"/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</row>
    <row r="231" spans="1:18" x14ac:dyDescent="0.25">
      <c r="A231" s="113"/>
      <c r="B231" s="116">
        <f t="shared" si="23"/>
        <v>10.5</v>
      </c>
      <c r="C231" s="117"/>
      <c r="D231" s="118">
        <f t="shared" si="24"/>
        <v>64.89</v>
      </c>
      <c r="E231" s="116">
        <f t="shared" si="26"/>
        <v>119.40251198498726</v>
      </c>
      <c r="F231" s="116">
        <f t="shared" si="25"/>
        <v>50.683359329792587</v>
      </c>
      <c r="G231" s="113"/>
      <c r="H231" s="113"/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</row>
    <row r="232" spans="1:18" x14ac:dyDescent="0.25">
      <c r="A232" s="113"/>
      <c r="B232" s="116">
        <f t="shared" si="23"/>
        <v>11</v>
      </c>
      <c r="C232" s="117"/>
      <c r="D232" s="118">
        <f t="shared" si="24"/>
        <v>67.98</v>
      </c>
      <c r="E232" s="116">
        <f t="shared" si="26"/>
        <v>125.22702476474274</v>
      </c>
      <c r="F232" s="116">
        <f t="shared" si="25"/>
        <v>53.155718321489786</v>
      </c>
      <c r="G232" s="113"/>
      <c r="H232" s="113"/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</row>
    <row r="233" spans="1:18" x14ac:dyDescent="0.25">
      <c r="A233" s="113"/>
      <c r="B233" s="116">
        <f t="shared" si="23"/>
        <v>11.5</v>
      </c>
      <c r="C233" s="117"/>
      <c r="D233" s="118">
        <f t="shared" si="24"/>
        <v>71.069999999999993</v>
      </c>
      <c r="E233" s="116">
        <f t="shared" si="26"/>
        <v>131.05153754449822</v>
      </c>
      <c r="F233" s="116">
        <f t="shared" si="25"/>
        <v>55.628077313186992</v>
      </c>
      <c r="G233" s="113"/>
      <c r="H233" s="113"/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</row>
    <row r="234" spans="1:18" x14ac:dyDescent="0.25">
      <c r="A234" s="113"/>
      <c r="B234" s="116">
        <f t="shared" si="23"/>
        <v>12</v>
      </c>
      <c r="C234" s="117"/>
      <c r="D234" s="118">
        <f>IF(B234&lt;=$D$186,0,B234*$C$201*$C$202)</f>
        <v>74.16</v>
      </c>
      <c r="E234" s="116">
        <f t="shared" si="26"/>
        <v>136.8760503242537</v>
      </c>
      <c r="F234" s="116">
        <f t="shared" si="25"/>
        <v>58.100436304884191</v>
      </c>
      <c r="G234" s="113"/>
      <c r="H234" s="113"/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</row>
    <row r="235" spans="1:18" x14ac:dyDescent="0.25">
      <c r="A235" s="113"/>
      <c r="B235" s="116">
        <f>B234+0.5</f>
        <v>12.5</v>
      </c>
      <c r="C235" s="117"/>
      <c r="D235" s="118">
        <f t="shared" si="24"/>
        <v>77.25</v>
      </c>
      <c r="E235" s="116">
        <f t="shared" si="26"/>
        <v>142.70056310400915</v>
      </c>
      <c r="F235" s="116">
        <f t="shared" si="25"/>
        <v>60.572795296581383</v>
      </c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</row>
    <row r="236" spans="1:18" x14ac:dyDescent="0.25">
      <c r="A236" s="113"/>
      <c r="B236" s="116">
        <f t="shared" si="23"/>
        <v>13</v>
      </c>
      <c r="C236" s="117"/>
      <c r="D236" s="118">
        <f t="shared" si="24"/>
        <v>80.34</v>
      </c>
      <c r="E236" s="116">
        <f t="shared" si="26"/>
        <v>148.52507588376466</v>
      </c>
      <c r="F236" s="116">
        <f t="shared" si="25"/>
        <v>63.045154288278596</v>
      </c>
      <c r="G236" s="113"/>
      <c r="H236" s="113"/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</row>
    <row r="237" spans="1:18" x14ac:dyDescent="0.25">
      <c r="A237" s="113"/>
      <c r="B237" s="116">
        <f t="shared" si="23"/>
        <v>13.5</v>
      </c>
      <c r="C237" s="117"/>
      <c r="D237" s="118">
        <f t="shared" si="24"/>
        <v>83.429999999999993</v>
      </c>
      <c r="E237" s="116">
        <f t="shared" si="26"/>
        <v>154.34958866352011</v>
      </c>
      <c r="F237" s="116">
        <f t="shared" si="25"/>
        <v>65.517513279975788</v>
      </c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</row>
    <row r="238" spans="1:18" x14ac:dyDescent="0.25">
      <c r="A238" s="113"/>
      <c r="B238" s="116">
        <f t="shared" si="23"/>
        <v>14</v>
      </c>
      <c r="C238" s="117"/>
      <c r="D238" s="118">
        <f t="shared" si="24"/>
        <v>86.52</v>
      </c>
      <c r="E238" s="116">
        <f t="shared" si="26"/>
        <v>160.17410144327559</v>
      </c>
      <c r="F238" s="116">
        <f t="shared" si="25"/>
        <v>67.989872271672979</v>
      </c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</row>
    <row r="239" spans="1:18" x14ac:dyDescent="0.25">
      <c r="A239" s="113"/>
      <c r="B239" s="116">
        <f t="shared" si="23"/>
        <v>14.5</v>
      </c>
      <c r="C239" s="117"/>
      <c r="D239" s="118">
        <f t="shared" si="24"/>
        <v>89.61</v>
      </c>
      <c r="E239" s="116">
        <f t="shared" si="26"/>
        <v>165.99861422303107</v>
      </c>
      <c r="F239" s="116">
        <f t="shared" si="25"/>
        <v>70.462231263370185</v>
      </c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</row>
    <row r="240" spans="1:18" x14ac:dyDescent="0.25">
      <c r="A240" s="113"/>
      <c r="B240" s="116">
        <f t="shared" si="23"/>
        <v>15</v>
      </c>
      <c r="C240" s="117"/>
      <c r="D240" s="118">
        <f t="shared" si="24"/>
        <v>92.7</v>
      </c>
      <c r="E240" s="116">
        <f t="shared" si="26"/>
        <v>171.82312700278655</v>
      </c>
      <c r="F240" s="116">
        <f t="shared" si="25"/>
        <v>72.934590255067391</v>
      </c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</row>
    <row r="241" spans="1:18" x14ac:dyDescent="0.25">
      <c r="A241" s="113"/>
      <c r="B241" s="116">
        <f t="shared" si="23"/>
        <v>15.5</v>
      </c>
      <c r="C241" s="117"/>
      <c r="D241" s="118">
        <f t="shared" si="24"/>
        <v>95.789999999999992</v>
      </c>
      <c r="E241" s="116">
        <f t="shared" si="26"/>
        <v>177.64763978254203</v>
      </c>
      <c r="F241" s="116">
        <f t="shared" si="25"/>
        <v>75.406949246764583</v>
      </c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</row>
    <row r="242" spans="1:18" x14ac:dyDescent="0.25">
      <c r="A242" s="113"/>
      <c r="B242" s="116">
        <f t="shared" si="23"/>
        <v>16</v>
      </c>
      <c r="C242" s="117"/>
      <c r="D242" s="118">
        <f t="shared" si="24"/>
        <v>98.88</v>
      </c>
      <c r="E242" s="116">
        <f t="shared" si="26"/>
        <v>183.47215256229751</v>
      </c>
      <c r="F242" s="116">
        <f t="shared" si="25"/>
        <v>77.879308238461789</v>
      </c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</row>
    <row r="243" spans="1:18" x14ac:dyDescent="0.25">
      <c r="A243" s="113"/>
      <c r="B243" s="116">
        <f t="shared" si="23"/>
        <v>16.5</v>
      </c>
      <c r="C243" s="117"/>
      <c r="D243" s="118">
        <f t="shared" si="24"/>
        <v>101.97</v>
      </c>
      <c r="E243" s="116">
        <f t="shared" si="26"/>
        <v>189.29666534205299</v>
      </c>
      <c r="F243" s="116">
        <f t="shared" si="25"/>
        <v>80.351667230158995</v>
      </c>
      <c r="G243" s="113"/>
      <c r="H243" s="113"/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</row>
    <row r="244" spans="1:18" x14ac:dyDescent="0.25">
      <c r="A244" s="113"/>
      <c r="B244" s="116">
        <f t="shared" si="23"/>
        <v>17</v>
      </c>
      <c r="C244" s="117"/>
      <c r="D244" s="118">
        <f t="shared" si="24"/>
        <v>105.06</v>
      </c>
      <c r="E244" s="116">
        <f t="shared" si="26"/>
        <v>195.12117812180844</v>
      </c>
      <c r="F244" s="116">
        <f t="shared" si="25"/>
        <v>82.824026221856172</v>
      </c>
      <c r="G244" s="113"/>
      <c r="H244" s="113"/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</row>
    <row r="245" spans="1:18" x14ac:dyDescent="0.25">
      <c r="A245" s="113"/>
      <c r="B245" s="116">
        <f t="shared" si="23"/>
        <v>17.5</v>
      </c>
      <c r="C245" s="117"/>
      <c r="D245" s="118">
        <f t="shared" si="24"/>
        <v>108.15</v>
      </c>
      <c r="E245" s="116">
        <f t="shared" si="26"/>
        <v>200.94569090156395</v>
      </c>
      <c r="F245" s="116">
        <f t="shared" si="25"/>
        <v>85.296385213553393</v>
      </c>
      <c r="G245" s="113"/>
      <c r="H245" s="113"/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</row>
    <row r="246" spans="1:18" x14ac:dyDescent="0.25">
      <c r="A246" s="113"/>
      <c r="B246" s="116">
        <f t="shared" si="23"/>
        <v>18</v>
      </c>
      <c r="C246" s="117"/>
      <c r="D246" s="118">
        <f t="shared" si="24"/>
        <v>111.24</v>
      </c>
      <c r="E246" s="116">
        <f t="shared" si="26"/>
        <v>206.7702036813194</v>
      </c>
      <c r="F246" s="116">
        <f t="shared" si="25"/>
        <v>87.768744205250584</v>
      </c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</row>
    <row r="247" spans="1:18" x14ac:dyDescent="0.25">
      <c r="A247" s="113"/>
      <c r="B247" s="116">
        <f t="shared" si="23"/>
        <v>18.5</v>
      </c>
      <c r="C247" s="117"/>
      <c r="D247" s="118">
        <f>IF(B247&lt;=$D$186,0,B247*$C$201*$C$202)</f>
        <v>114.33</v>
      </c>
      <c r="E247" s="116">
        <f t="shared" si="26"/>
        <v>212.59471646107488</v>
      </c>
      <c r="F247" s="116">
        <f t="shared" si="25"/>
        <v>90.241103196947776</v>
      </c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</row>
    <row r="248" spans="1:18" x14ac:dyDescent="0.25">
      <c r="A248" s="113"/>
      <c r="B248" s="116">
        <f t="shared" si="23"/>
        <v>19</v>
      </c>
      <c r="C248" s="117"/>
      <c r="D248" s="118">
        <f t="shared" ref="D248:D256" si="27">IF(B248&lt;=$D$186,0,B248*$C$201*$C$202)</f>
        <v>117.42</v>
      </c>
      <c r="E248" s="116">
        <f t="shared" si="26"/>
        <v>218.41922924083033</v>
      </c>
      <c r="F248" s="116">
        <f t="shared" si="25"/>
        <v>92.713462188644968</v>
      </c>
      <c r="G248" s="113"/>
      <c r="H248" s="113"/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</row>
    <row r="249" spans="1:18" x14ac:dyDescent="0.25">
      <c r="A249" s="113"/>
      <c r="B249" s="116">
        <f t="shared" si="23"/>
        <v>19.5</v>
      </c>
      <c r="C249" s="117"/>
      <c r="D249" s="118">
        <f t="shared" si="27"/>
        <v>120.51</v>
      </c>
      <c r="E249" s="116">
        <f t="shared" si="26"/>
        <v>224.24374202058584</v>
      </c>
      <c r="F249" s="116">
        <f t="shared" si="25"/>
        <v>95.185821180342188</v>
      </c>
      <c r="G249" s="113"/>
      <c r="H249" s="113"/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</row>
    <row r="250" spans="1:18" x14ac:dyDescent="0.25">
      <c r="A250" s="113"/>
      <c r="B250" s="116">
        <f t="shared" si="23"/>
        <v>20</v>
      </c>
      <c r="C250" s="117"/>
      <c r="D250" s="118">
        <f t="shared" si="27"/>
        <v>123.6</v>
      </c>
      <c r="E250" s="116">
        <f t="shared" si="26"/>
        <v>230.06825480034132</v>
      </c>
      <c r="F250" s="116">
        <f t="shared" si="25"/>
        <v>97.65818017203938</v>
      </c>
      <c r="G250" s="113"/>
      <c r="H250" s="113"/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</row>
    <row r="251" spans="1:18" x14ac:dyDescent="0.25">
      <c r="A251" s="113"/>
      <c r="B251" s="116">
        <v>20.5</v>
      </c>
      <c r="C251" s="117"/>
      <c r="D251" s="118">
        <f t="shared" si="27"/>
        <v>126.69</v>
      </c>
      <c r="E251" s="116">
        <f>AVERAGE(D250:D251)*PI()*$C$204*(B251-B250)</f>
        <v>235.89276758009677</v>
      </c>
      <c r="F251" s="116">
        <f t="shared" si="25"/>
        <v>100.13053916373657</v>
      </c>
      <c r="G251" s="113"/>
      <c r="H251" s="113"/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</row>
    <row r="252" spans="1:18" x14ac:dyDescent="0.25">
      <c r="A252" s="113"/>
      <c r="B252" s="116">
        <v>21</v>
      </c>
      <c r="C252" s="117"/>
      <c r="D252" s="118">
        <f t="shared" si="27"/>
        <v>129.78</v>
      </c>
      <c r="E252" s="116">
        <f t="shared" ref="E252:E256" si="28">AVERAGE(D251:D252)*PI()*$C$204*(B252-B251)</f>
        <v>241.71728035985228</v>
      </c>
      <c r="F252" s="116">
        <f t="shared" si="25"/>
        <v>102.60289815543379</v>
      </c>
      <c r="G252" s="113"/>
      <c r="H252" s="113"/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</row>
    <row r="253" spans="1:18" x14ac:dyDescent="0.25">
      <c r="A253" s="113"/>
      <c r="B253" s="116">
        <v>21.5</v>
      </c>
      <c r="C253" s="117"/>
      <c r="D253" s="118">
        <f t="shared" si="27"/>
        <v>132.87</v>
      </c>
      <c r="E253" s="116">
        <f t="shared" si="28"/>
        <v>247.54179313960773</v>
      </c>
      <c r="F253" s="116">
        <f t="shared" si="25"/>
        <v>105.07525714713098</v>
      </c>
      <c r="G253" s="113"/>
      <c r="H253" s="113"/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</row>
    <row r="254" spans="1:18" x14ac:dyDescent="0.25">
      <c r="A254" s="113"/>
      <c r="B254" s="116">
        <v>22</v>
      </c>
      <c r="C254" s="117"/>
      <c r="D254" s="118">
        <f t="shared" si="27"/>
        <v>135.96</v>
      </c>
      <c r="E254" s="116">
        <f t="shared" si="28"/>
        <v>253.36630591936324</v>
      </c>
      <c r="F254" s="116">
        <f t="shared" si="25"/>
        <v>107.54761613882819</v>
      </c>
      <c r="G254" s="113"/>
      <c r="H254" s="113"/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</row>
    <row r="255" spans="1:18" x14ac:dyDescent="0.25">
      <c r="A255" s="113"/>
      <c r="B255" s="116">
        <v>22.5</v>
      </c>
      <c r="C255" s="117"/>
      <c r="D255" s="118">
        <f t="shared" si="27"/>
        <v>139.05000000000001</v>
      </c>
      <c r="E255" s="116">
        <f t="shared" si="28"/>
        <v>259.19081869911867</v>
      </c>
      <c r="F255" s="116">
        <f t="shared" si="25"/>
        <v>110.01997513052537</v>
      </c>
      <c r="G255" s="113"/>
      <c r="H255" s="113"/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</row>
    <row r="256" spans="1:18" x14ac:dyDescent="0.25">
      <c r="A256" s="113"/>
      <c r="B256" s="116">
        <v>23</v>
      </c>
      <c r="C256" s="117"/>
      <c r="D256" s="118">
        <f t="shared" si="27"/>
        <v>142.13999999999999</v>
      </c>
      <c r="E256" s="116">
        <f t="shared" si="28"/>
        <v>265.01533147887415</v>
      </c>
      <c r="F256" s="116">
        <f t="shared" si="25"/>
        <v>112.49233412222257</v>
      </c>
      <c r="G256" s="113"/>
      <c r="H256" s="113"/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</row>
    <row r="257" spans="1:18" x14ac:dyDescent="0.25">
      <c r="A257" s="113"/>
      <c r="G257" s="113"/>
      <c r="H257" s="113"/>
      <c r="I257" s="113"/>
      <c r="J257" s="113"/>
      <c r="K257" s="113"/>
      <c r="L257" s="113"/>
      <c r="M257" s="113"/>
      <c r="N257" s="113"/>
      <c r="O257" s="113"/>
      <c r="P257" s="113"/>
      <c r="Q257" s="113"/>
    </row>
    <row r="258" spans="1:18" ht="14.4" x14ac:dyDescent="0.3">
      <c r="A258" s="113"/>
      <c r="B258" s="113"/>
      <c r="C258" s="113"/>
      <c r="D258" s="113"/>
      <c r="E258" s="120" t="s">
        <v>375</v>
      </c>
      <c r="F258" s="121">
        <f>SUM(F210:F256)</f>
        <v>2192.9824256354159</v>
      </c>
      <c r="G258" s="113" t="s">
        <v>177</v>
      </c>
      <c r="H258" s="113"/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</row>
    <row r="259" spans="1:18" x14ac:dyDescent="0.25">
      <c r="A259" s="113"/>
      <c r="B259" s="113"/>
      <c r="C259" s="113"/>
      <c r="D259" s="113" t="s">
        <v>376</v>
      </c>
      <c r="E259" s="113">
        <v>2.5</v>
      </c>
      <c r="F259" s="122">
        <f>F258/E259</f>
        <v>877.19297025416631</v>
      </c>
      <c r="G259" s="113" t="s">
        <v>177</v>
      </c>
      <c r="H259" s="113"/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</row>
    <row r="260" spans="1:18" x14ac:dyDescent="0.25">
      <c r="A260" s="113"/>
      <c r="B260" s="113"/>
      <c r="C260" s="113"/>
      <c r="D260" s="113"/>
      <c r="E260" s="113"/>
      <c r="F260" s="122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</row>
    <row r="261" spans="1:18" x14ac:dyDescent="0.25">
      <c r="A261" s="113"/>
      <c r="B261" s="113"/>
      <c r="C261" s="113"/>
      <c r="D261" s="113"/>
      <c r="E261" s="123"/>
      <c r="F261" s="124" t="s">
        <v>377</v>
      </c>
      <c r="G261" s="113">
        <v>30</v>
      </c>
      <c r="H261" s="113" t="s">
        <v>60</v>
      </c>
      <c r="I261" s="113">
        <f>G261*PI()/180</f>
        <v>0.52359877559829882</v>
      </c>
      <c r="J261" s="113"/>
      <c r="K261" s="113"/>
      <c r="L261" s="113"/>
      <c r="M261" s="113"/>
      <c r="N261" s="113"/>
      <c r="O261" s="113"/>
      <c r="P261" s="113"/>
      <c r="Q261" s="113"/>
      <c r="R261" s="113"/>
    </row>
    <row r="262" spans="1:18" x14ac:dyDescent="0.25">
      <c r="A262" s="113"/>
      <c r="B262" s="113"/>
      <c r="C262" s="113"/>
      <c r="D262" s="113"/>
      <c r="E262" s="123"/>
      <c r="F262" s="124" t="s">
        <v>378</v>
      </c>
      <c r="G262" s="114">
        <f>(1-I261)/(1+SIN(I261))</f>
        <v>0.31760081626780079</v>
      </c>
      <c r="H262" s="113"/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</row>
    <row r="263" spans="1:18" x14ac:dyDescent="0.25">
      <c r="A263" s="113"/>
      <c r="B263" s="113"/>
      <c r="C263" s="113"/>
      <c r="D263" s="113"/>
      <c r="E263" s="123"/>
      <c r="F263" s="124" t="s">
        <v>379</v>
      </c>
      <c r="G263" s="114">
        <f>G261</f>
        <v>30</v>
      </c>
      <c r="H263" s="113"/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</row>
    <row r="264" spans="1:18" x14ac:dyDescent="0.25">
      <c r="A264" s="113"/>
      <c r="B264" s="113"/>
      <c r="C264" s="113"/>
      <c r="D264" s="113"/>
      <c r="E264" s="123"/>
      <c r="F264" s="113" t="s">
        <v>380</v>
      </c>
      <c r="G264" s="125">
        <f>TAN(G263*PI()/180)</f>
        <v>0.57735026918962573</v>
      </c>
      <c r="H264" s="113"/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</row>
    <row r="265" spans="1:18" x14ac:dyDescent="0.25">
      <c r="A265" s="113"/>
      <c r="B265" s="113"/>
      <c r="C265" s="113"/>
      <c r="D265" s="113"/>
      <c r="E265" s="123"/>
      <c r="F265" s="113" t="s">
        <v>381</v>
      </c>
      <c r="G265" s="113">
        <v>18</v>
      </c>
      <c r="H265" s="113" t="s">
        <v>382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</row>
    <row r="266" spans="1:18" x14ac:dyDescent="0.25">
      <c r="A266" s="113"/>
      <c r="B266" s="113"/>
      <c r="C266" s="113" t="s">
        <v>383</v>
      </c>
      <c r="D266" s="113"/>
      <c r="E266" s="113"/>
      <c r="F266" s="113"/>
      <c r="G266" s="113">
        <v>15</v>
      </c>
      <c r="H266" s="113" t="s">
        <v>384</v>
      </c>
      <c r="I266" s="113" t="s">
        <v>385</v>
      </c>
      <c r="J266" s="123">
        <f>C204</f>
        <v>1.2</v>
      </c>
      <c r="K266" s="113"/>
      <c r="L266" s="113" t="s">
        <v>386</v>
      </c>
      <c r="M266" s="113"/>
      <c r="N266" s="113"/>
      <c r="O266" s="113"/>
      <c r="P266" s="113"/>
      <c r="Q266" s="113"/>
      <c r="R266" s="113"/>
    </row>
    <row r="267" spans="1:18" x14ac:dyDescent="0.25">
      <c r="A267" s="113"/>
      <c r="B267" s="113"/>
      <c r="C267" s="113" t="s">
        <v>387</v>
      </c>
      <c r="D267" s="113">
        <v>48</v>
      </c>
      <c r="E267" s="113"/>
      <c r="F267" s="113" t="s">
        <v>388</v>
      </c>
      <c r="G267" s="123">
        <f>I99-D186</f>
        <v>13.56</v>
      </c>
      <c r="H267" s="113" t="s">
        <v>19</v>
      </c>
      <c r="I267" s="113" t="s">
        <v>389</v>
      </c>
      <c r="J267" s="114">
        <f>G267*G265*G262</f>
        <v>77.520007234644822</v>
      </c>
      <c r="K267" s="113"/>
      <c r="L267" s="113"/>
      <c r="M267" s="113"/>
      <c r="N267" s="113"/>
      <c r="O267" s="113"/>
      <c r="P267" s="113"/>
      <c r="Q267" s="113"/>
      <c r="R267" s="113"/>
    </row>
    <row r="268" spans="1:18" x14ac:dyDescent="0.25">
      <c r="A268" s="113"/>
      <c r="B268" s="113"/>
      <c r="C268" s="113" t="s">
        <v>390</v>
      </c>
      <c r="D268" s="113">
        <v>48</v>
      </c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</row>
    <row r="269" spans="1:18" x14ac:dyDescent="0.25">
      <c r="A269" s="113"/>
      <c r="B269" s="113"/>
      <c r="C269" s="113" t="s">
        <v>391</v>
      </c>
      <c r="D269" s="114">
        <f>PI()*J266^2/4</f>
        <v>1.1309733552923256</v>
      </c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</row>
    <row r="270" spans="1:18" x14ac:dyDescent="0.25">
      <c r="A270" s="113"/>
      <c r="B270" s="113"/>
      <c r="C270" s="113" t="s">
        <v>185</v>
      </c>
      <c r="D270" s="123">
        <f>J266</f>
        <v>1.2</v>
      </c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</row>
    <row r="271" spans="1:18" x14ac:dyDescent="0.25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</row>
    <row r="272" spans="1:18" ht="14.4" x14ac:dyDescent="0.3">
      <c r="A272" s="113"/>
      <c r="B272" s="113"/>
      <c r="C272" s="113" t="s">
        <v>392</v>
      </c>
      <c r="D272" s="123">
        <f>D269*(0.5*D270*G265*D268+J267*D267)</f>
        <v>4794.603596237218</v>
      </c>
      <c r="E272" s="113"/>
      <c r="F272" s="113"/>
      <c r="G272" s="120"/>
      <c r="H272" s="126"/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</row>
    <row r="273" spans="1:18" ht="14.4" x14ac:dyDescent="0.3">
      <c r="A273" s="113"/>
      <c r="B273" s="113"/>
      <c r="C273" s="113"/>
      <c r="D273" s="113"/>
      <c r="E273" s="120" t="s">
        <v>393</v>
      </c>
      <c r="F273" s="122">
        <f>D272</f>
        <v>4794.603596237218</v>
      </c>
      <c r="G273" s="113" t="s">
        <v>177</v>
      </c>
      <c r="H273" s="113"/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</row>
    <row r="274" spans="1:18" x14ac:dyDescent="0.25">
      <c r="A274" s="113"/>
      <c r="B274" s="113"/>
      <c r="C274" s="113"/>
      <c r="D274" s="113" t="s">
        <v>376</v>
      </c>
      <c r="E274" s="113">
        <v>2.5</v>
      </c>
      <c r="F274" s="122">
        <f>F273/E274</f>
        <v>1917.8414384948871</v>
      </c>
      <c r="G274" s="113" t="s">
        <v>177</v>
      </c>
      <c r="H274" s="113"/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</row>
    <row r="275" spans="1:18" x14ac:dyDescent="0.25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</row>
    <row r="276" spans="1:18" x14ac:dyDescent="0.25">
      <c r="A276" s="113"/>
      <c r="B276" s="113"/>
      <c r="C276" s="113"/>
      <c r="D276" s="113"/>
      <c r="E276" s="127" t="s">
        <v>394</v>
      </c>
      <c r="F276" s="122">
        <f>F274+F259</f>
        <v>2795.0344087490535</v>
      </c>
      <c r="G276" s="128" t="s">
        <v>177</v>
      </c>
      <c r="H276" s="129" t="str">
        <f>IF(F276&gt;B165,"OK","NOT OK")</f>
        <v>OK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</row>
    <row r="277" spans="1:18" x14ac:dyDescent="0.25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</row>
    <row r="278" spans="1:18" x14ac:dyDescent="0.25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</row>
  </sheetData>
  <mergeCells count="53">
    <mergeCell ref="A41:B41"/>
    <mergeCell ref="A43:C43"/>
    <mergeCell ref="A62:B62"/>
    <mergeCell ref="A162:D162"/>
    <mergeCell ref="A103:B103"/>
    <mergeCell ref="A104:B104"/>
    <mergeCell ref="A118:E118"/>
    <mergeCell ref="A86:C86"/>
    <mergeCell ref="G99:H99"/>
    <mergeCell ref="G100:H100"/>
    <mergeCell ref="A1:F2"/>
    <mergeCell ref="A5:E5"/>
    <mergeCell ref="B6:C6"/>
    <mergeCell ref="A100:B100"/>
    <mergeCell ref="G98:H98"/>
    <mergeCell ref="A99:B99"/>
    <mergeCell ref="F96:I96"/>
    <mergeCell ref="F6:I6"/>
    <mergeCell ref="A88:C88"/>
    <mergeCell ref="A96:D96"/>
    <mergeCell ref="A97:B97"/>
    <mergeCell ref="A98:B98"/>
    <mergeCell ref="A64:C64"/>
    <mergeCell ref="A84:B84"/>
    <mergeCell ref="A169:E169"/>
    <mergeCell ref="A171:B171"/>
    <mergeCell ref="A172:B172"/>
    <mergeCell ref="A174:C174"/>
    <mergeCell ref="A176:C176"/>
    <mergeCell ref="A178:C178"/>
    <mergeCell ref="A179:C179"/>
    <mergeCell ref="A180:C180"/>
    <mergeCell ref="A185:C185"/>
    <mergeCell ref="B186:C186"/>
    <mergeCell ref="E192:F192"/>
    <mergeCell ref="A199:D199"/>
    <mergeCell ref="B187:C187"/>
    <mergeCell ref="B188:C188"/>
    <mergeCell ref="B189:C189"/>
    <mergeCell ref="B190:C190"/>
    <mergeCell ref="A192:C192"/>
    <mergeCell ref="A205:B205"/>
    <mergeCell ref="A206:F206"/>
    <mergeCell ref="A201:B201"/>
    <mergeCell ref="A202:B202"/>
    <mergeCell ref="A203:B203"/>
    <mergeCell ref="A204:B204"/>
    <mergeCell ref="D208:D209"/>
    <mergeCell ref="E208:E209"/>
    <mergeCell ref="E204:F204"/>
    <mergeCell ref="E201:F201"/>
    <mergeCell ref="E202:F202"/>
    <mergeCell ref="E203:F203"/>
  </mergeCells>
  <phoneticPr fontId="33" type="noConversion"/>
  <pageMargins left="0.7" right="0.7" top="0.75" bottom="0.75" header="0.3" footer="0.3"/>
  <pageSetup orientation="portrait" r:id="rId1"/>
  <ignoredErrors>
    <ignoredError sqref="D7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C29A0-EE99-4AAD-ACE5-8A39675A7540}">
  <sheetPr codeName="Sheet3"/>
  <dimension ref="A1:X549"/>
  <sheetViews>
    <sheetView tabSelected="1" topLeftCell="A523" workbookViewId="0">
      <selection activeCell="E541" sqref="E541"/>
    </sheetView>
  </sheetViews>
  <sheetFormatPr defaultRowHeight="13.8" x14ac:dyDescent="0.25"/>
  <cols>
    <col min="4" max="5" width="9.3984375" bestFit="1" customWidth="1"/>
    <col min="6" max="6" width="10.8984375" customWidth="1"/>
    <col min="10" max="10" width="9.796875" customWidth="1"/>
  </cols>
  <sheetData>
    <row r="1" spans="1:15" x14ac:dyDescent="0.25">
      <c r="A1" s="231" t="s">
        <v>0</v>
      </c>
      <c r="B1" s="231"/>
      <c r="C1" s="231"/>
      <c r="D1" s="6"/>
      <c r="E1" s="6"/>
      <c r="F1" s="6"/>
      <c r="G1" s="6"/>
      <c r="H1" s="6"/>
      <c r="I1" s="6"/>
      <c r="J1" s="4"/>
      <c r="K1" s="4"/>
      <c r="L1" s="4"/>
    </row>
    <row r="2" spans="1:15" x14ac:dyDescent="0.25">
      <c r="A2" s="6"/>
      <c r="B2" s="6"/>
      <c r="C2" s="7" t="s">
        <v>1</v>
      </c>
      <c r="D2" s="8" t="s">
        <v>2</v>
      </c>
      <c r="E2" s="6"/>
      <c r="F2" s="234" t="s">
        <v>3</v>
      </c>
      <c r="G2" s="234"/>
      <c r="H2" s="6"/>
      <c r="I2" s="6"/>
      <c r="J2" s="4"/>
      <c r="K2" s="260" t="s">
        <v>467</v>
      </c>
      <c r="L2" s="260"/>
      <c r="M2" s="260"/>
      <c r="N2">
        <v>1.8</v>
      </c>
      <c r="O2" t="s">
        <v>19</v>
      </c>
    </row>
    <row r="3" spans="1:15" x14ac:dyDescent="0.25">
      <c r="A3" s="6"/>
      <c r="B3" s="6"/>
      <c r="C3" s="8" t="s">
        <v>4</v>
      </c>
      <c r="D3" s="9">
        <f>2205.153/2</f>
        <v>1102.5764999999999</v>
      </c>
      <c r="E3" s="6" t="s">
        <v>81</v>
      </c>
      <c r="F3" s="8" t="s">
        <v>5</v>
      </c>
      <c r="G3" s="10">
        <f>1338.873/1.5</f>
        <v>892.58199999999999</v>
      </c>
      <c r="H3" s="6" t="s">
        <v>81</v>
      </c>
      <c r="I3" s="6"/>
      <c r="J3" s="4"/>
      <c r="K3" s="4"/>
      <c r="L3" s="4"/>
    </row>
    <row r="4" spans="1:15" x14ac:dyDescent="0.25">
      <c r="A4" s="6"/>
      <c r="B4" s="6"/>
      <c r="C4" s="8" t="s">
        <v>6</v>
      </c>
      <c r="D4" s="8">
        <f>1696.5/2</f>
        <v>848.25</v>
      </c>
      <c r="E4" s="11" t="s">
        <v>81</v>
      </c>
      <c r="F4" s="8" t="s">
        <v>61</v>
      </c>
      <c r="G4" s="12">
        <f>711.873/1.5</f>
        <v>474.58200000000005</v>
      </c>
      <c r="H4" s="6" t="s">
        <v>81</v>
      </c>
      <c r="I4" s="4"/>
      <c r="J4" s="4"/>
      <c r="K4" s="4"/>
      <c r="L4" s="4"/>
    </row>
    <row r="5" spans="1:15" x14ac:dyDescent="0.25">
      <c r="A5" s="6"/>
      <c r="B5" s="6"/>
      <c r="C5" s="8" t="s">
        <v>7</v>
      </c>
      <c r="D5" s="9">
        <f>14.58/2</f>
        <v>7.29</v>
      </c>
      <c r="E5" s="13" t="s">
        <v>81</v>
      </c>
      <c r="F5" s="8" t="s">
        <v>8</v>
      </c>
      <c r="G5" s="108">
        <f>536.347/1.5</f>
        <v>357.56466666666665</v>
      </c>
      <c r="H5" s="6" t="s">
        <v>81</v>
      </c>
      <c r="I5" s="4"/>
      <c r="J5" s="4"/>
      <c r="K5" s="4"/>
      <c r="L5" s="4"/>
    </row>
    <row r="6" spans="1:15" x14ac:dyDescent="0.25">
      <c r="A6" s="6"/>
      <c r="B6" s="6"/>
      <c r="C6" s="8" t="s">
        <v>9</v>
      </c>
      <c r="D6" s="9">
        <f>590.62/2</f>
        <v>295.31</v>
      </c>
      <c r="E6" s="6" t="s">
        <v>270</v>
      </c>
      <c r="F6" s="8" t="s">
        <v>399</v>
      </c>
      <c r="G6" s="10">
        <v>0</v>
      </c>
      <c r="H6" s="6" t="s">
        <v>81</v>
      </c>
      <c r="I6" s="6"/>
      <c r="J6" s="4"/>
      <c r="K6" s="4"/>
      <c r="L6" s="4"/>
    </row>
    <row r="7" spans="1:15" x14ac:dyDescent="0.25">
      <c r="A7" s="6"/>
      <c r="B7" s="6"/>
      <c r="C7" s="8" t="s">
        <v>10</v>
      </c>
      <c r="D7" s="9">
        <f>495/2</f>
        <v>247.5</v>
      </c>
      <c r="E7" s="6" t="s">
        <v>81</v>
      </c>
      <c r="F7" s="14"/>
      <c r="G7" s="15"/>
      <c r="H7" s="6"/>
      <c r="I7" s="6"/>
      <c r="J7" s="4"/>
      <c r="K7" s="4"/>
      <c r="L7" s="4"/>
    </row>
    <row r="8" spans="1:15" x14ac:dyDescent="0.25">
      <c r="A8" s="6"/>
      <c r="B8" s="6"/>
      <c r="C8" s="6"/>
      <c r="D8" s="27">
        <f>SUM(D3:D7)</f>
        <v>2500.9265</v>
      </c>
      <c r="E8" s="6" t="s">
        <v>177</v>
      </c>
      <c r="F8" s="6"/>
      <c r="G8" s="6"/>
      <c r="H8" s="6"/>
      <c r="I8" s="6"/>
      <c r="J8" s="4"/>
      <c r="K8" s="4"/>
      <c r="L8" s="4"/>
    </row>
    <row r="9" spans="1:15" x14ac:dyDescent="0.25">
      <c r="A9" s="16" t="s">
        <v>11</v>
      </c>
      <c r="B9" s="17"/>
      <c r="C9" s="17"/>
      <c r="D9" s="17"/>
      <c r="E9" s="17"/>
      <c r="F9" s="17"/>
      <c r="G9" s="17"/>
      <c r="H9" s="17"/>
      <c r="I9" s="6"/>
      <c r="J9" s="4"/>
      <c r="K9" s="4"/>
      <c r="L9" s="4"/>
    </row>
    <row r="10" spans="1:15" ht="17.399999999999999" x14ac:dyDescent="0.35">
      <c r="A10" s="235" t="s">
        <v>12</v>
      </c>
      <c r="B10" s="235"/>
      <c r="C10" s="236"/>
      <c r="D10" s="18" t="s">
        <v>398</v>
      </c>
      <c r="E10" s="237" t="s">
        <v>72</v>
      </c>
      <c r="F10" s="236"/>
      <c r="G10" s="19">
        <v>30</v>
      </c>
      <c r="H10" s="20" t="s">
        <v>73</v>
      </c>
      <c r="I10" s="17"/>
      <c r="J10" s="4"/>
      <c r="K10" s="4"/>
      <c r="L10" s="4"/>
    </row>
    <row r="11" spans="1:15" ht="17.399999999999999" x14ac:dyDescent="0.35">
      <c r="A11" s="237" t="s">
        <v>13</v>
      </c>
      <c r="B11" s="235"/>
      <c r="C11" s="236"/>
      <c r="D11" s="21" t="s">
        <v>14</v>
      </c>
      <c r="E11" s="237" t="s">
        <v>74</v>
      </c>
      <c r="F11" s="236"/>
      <c r="G11" s="19">
        <v>500</v>
      </c>
      <c r="H11" s="22" t="s">
        <v>71</v>
      </c>
      <c r="I11" s="17"/>
      <c r="J11" s="4"/>
      <c r="K11" s="4"/>
      <c r="L11" s="4"/>
    </row>
    <row r="12" spans="1:15" x14ac:dyDescent="0.25">
      <c r="A12" s="232" t="s">
        <v>56</v>
      </c>
      <c r="B12" s="232"/>
      <c r="C12" s="232"/>
      <c r="D12" s="232"/>
      <c r="E12" s="232"/>
      <c r="F12" s="6"/>
      <c r="G12" s="6"/>
      <c r="H12" s="6"/>
      <c r="I12" s="6"/>
      <c r="J12" s="4"/>
      <c r="K12" s="4"/>
      <c r="L12" s="4"/>
    </row>
    <row r="13" spans="1:15" ht="16.2" x14ac:dyDescent="0.25">
      <c r="A13" s="233" t="s">
        <v>15</v>
      </c>
      <c r="B13" s="233"/>
      <c r="C13" s="233"/>
      <c r="D13" s="23">
        <v>25</v>
      </c>
      <c r="E13" s="12" t="s">
        <v>75</v>
      </c>
      <c r="F13" s="17"/>
      <c r="G13" s="6"/>
      <c r="H13" s="6"/>
      <c r="I13" s="6"/>
      <c r="J13" s="4"/>
      <c r="K13" s="4"/>
      <c r="L13" s="4"/>
    </row>
    <row r="14" spans="1:15" ht="16.2" x14ac:dyDescent="0.25">
      <c r="A14" s="233" t="s">
        <v>16</v>
      </c>
      <c r="B14" s="233"/>
      <c r="C14" s="233"/>
      <c r="D14" s="23">
        <v>20</v>
      </c>
      <c r="E14" s="12" t="s">
        <v>76</v>
      </c>
      <c r="F14" s="17"/>
      <c r="G14" s="6"/>
      <c r="H14" s="6"/>
      <c r="I14" s="6"/>
      <c r="J14" s="4"/>
      <c r="K14" s="4"/>
      <c r="L14" s="4"/>
    </row>
    <row r="15" spans="1:15" x14ac:dyDescent="0.25">
      <c r="A15" s="14"/>
      <c r="B15" s="14"/>
      <c r="C15" s="14"/>
      <c r="D15" s="24"/>
      <c r="E15" s="6"/>
      <c r="F15" s="17"/>
      <c r="G15" s="6"/>
      <c r="H15" s="6"/>
      <c r="I15" s="6"/>
      <c r="J15" s="4"/>
      <c r="K15" s="4"/>
      <c r="L15" s="4"/>
    </row>
    <row r="16" spans="1:15" x14ac:dyDescent="0.25">
      <c r="A16" s="25"/>
      <c r="B16" s="6"/>
      <c r="C16" s="6"/>
      <c r="D16" s="231" t="s">
        <v>57</v>
      </c>
      <c r="E16" s="231"/>
      <c r="F16" s="231"/>
      <c r="G16" s="231"/>
      <c r="H16" s="231"/>
      <c r="I16" s="231"/>
      <c r="J16" s="6"/>
      <c r="K16" s="4"/>
      <c r="L16" s="4"/>
    </row>
    <row r="17" spans="1:12" x14ac:dyDescent="0.25">
      <c r="A17" s="6"/>
      <c r="B17" s="6"/>
      <c r="C17" s="6"/>
      <c r="D17" s="6"/>
      <c r="E17" s="6"/>
      <c r="F17" s="26" t="s">
        <v>17</v>
      </c>
      <c r="G17" s="6"/>
      <c r="H17" s="6"/>
      <c r="I17" s="6"/>
      <c r="J17" s="4"/>
      <c r="K17" s="4"/>
      <c r="L17" s="4"/>
    </row>
    <row r="18" spans="1:12" x14ac:dyDescent="0.25">
      <c r="A18" s="4"/>
      <c r="B18" s="6"/>
      <c r="C18" s="6"/>
      <c r="D18" s="6"/>
      <c r="E18" s="6"/>
      <c r="F18" s="14" t="s">
        <v>18</v>
      </c>
      <c r="G18" s="15">
        <v>2.2999999999999998</v>
      </c>
      <c r="H18" s="27" t="s">
        <v>19</v>
      </c>
      <c r="I18" s="6"/>
      <c r="J18" s="6"/>
      <c r="K18" s="4"/>
      <c r="L18" s="4"/>
    </row>
    <row r="19" spans="1:12" x14ac:dyDescent="0.25">
      <c r="A19" s="4"/>
      <c r="B19" s="6"/>
      <c r="C19" s="6"/>
      <c r="D19" s="6"/>
      <c r="E19" s="6"/>
      <c r="F19" s="14" t="s">
        <v>20</v>
      </c>
      <c r="G19" s="33">
        <v>0.214</v>
      </c>
      <c r="H19" s="6" t="s">
        <v>19</v>
      </c>
      <c r="I19" s="6"/>
      <c r="J19" s="6"/>
      <c r="K19" s="4"/>
      <c r="L19" s="4"/>
    </row>
    <row r="20" spans="1:12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1:12" x14ac:dyDescent="0.25">
      <c r="A21" s="4"/>
      <c r="B21" s="6"/>
      <c r="C21" s="28"/>
      <c r="D21" s="6"/>
      <c r="E21" s="6"/>
      <c r="F21" s="26" t="s">
        <v>21</v>
      </c>
      <c r="G21" s="6"/>
      <c r="H21" s="6"/>
      <c r="I21" s="6"/>
      <c r="J21" s="6"/>
      <c r="K21" s="4"/>
      <c r="L21" s="4"/>
    </row>
    <row r="22" spans="1:12" x14ac:dyDescent="0.25">
      <c r="A22" s="4"/>
      <c r="B22" s="6"/>
      <c r="C22" s="15"/>
      <c r="D22" s="6"/>
      <c r="E22" s="6"/>
      <c r="F22" s="14" t="s">
        <v>22</v>
      </c>
      <c r="G22" s="29">
        <v>7.49</v>
      </c>
      <c r="H22" s="225" t="s">
        <v>58</v>
      </c>
      <c r="I22" s="225"/>
      <c r="J22" s="225"/>
      <c r="K22" s="4"/>
      <c r="L22" s="4"/>
    </row>
    <row r="23" spans="1:12" x14ac:dyDescent="0.25">
      <c r="A23" s="4"/>
      <c r="B23" s="6"/>
      <c r="C23" s="6"/>
      <c r="D23" s="6"/>
      <c r="E23" s="6"/>
      <c r="F23" s="14" t="s">
        <v>23</v>
      </c>
      <c r="G23" s="31">
        <v>7.4999999999999997E-2</v>
      </c>
      <c r="H23" s="6" t="s">
        <v>19</v>
      </c>
      <c r="I23" s="6"/>
      <c r="J23" s="6"/>
      <c r="K23" s="4"/>
      <c r="L23" s="4"/>
    </row>
    <row r="24" spans="1:12" x14ac:dyDescent="0.25">
      <c r="A24" s="4"/>
      <c r="B24" s="6"/>
      <c r="C24" s="6"/>
      <c r="D24" s="6"/>
      <c r="E24" s="6"/>
      <c r="F24" s="14" t="s">
        <v>24</v>
      </c>
      <c r="G24" s="32">
        <f>G18+G23+G19</f>
        <v>2.589</v>
      </c>
      <c r="H24" s="6" t="s">
        <v>25</v>
      </c>
      <c r="I24" s="6"/>
      <c r="J24" s="6"/>
      <c r="K24" s="4"/>
      <c r="L24" s="4"/>
    </row>
    <row r="25" spans="1:12" x14ac:dyDescent="0.25">
      <c r="A25" s="4"/>
      <c r="B25" s="28"/>
      <c r="C25" s="14"/>
      <c r="D25" s="6"/>
      <c r="E25" s="6"/>
      <c r="F25" s="14" t="s">
        <v>26</v>
      </c>
      <c r="G25" s="33">
        <v>0.8</v>
      </c>
      <c r="H25" s="6" t="s">
        <v>27</v>
      </c>
      <c r="I25" s="6"/>
      <c r="J25" s="6"/>
      <c r="K25" s="4"/>
      <c r="L25" s="4"/>
    </row>
    <row r="26" spans="1:12" x14ac:dyDescent="0.25">
      <c r="A26" s="4"/>
      <c r="B26" s="6"/>
      <c r="C26" s="6"/>
      <c r="D26" s="6"/>
      <c r="E26" s="6"/>
      <c r="F26" s="14" t="s">
        <v>28</v>
      </c>
      <c r="G26" s="32">
        <f>G22-G24-G25</f>
        <v>4.101</v>
      </c>
      <c r="H26" s="6" t="s">
        <v>19</v>
      </c>
      <c r="I26" s="6"/>
      <c r="J26" s="6"/>
      <c r="K26" s="4"/>
      <c r="L26" s="4"/>
    </row>
    <row r="27" spans="1:12" x14ac:dyDescent="0.25">
      <c r="A27" s="4"/>
      <c r="B27" s="6"/>
      <c r="C27" s="6"/>
      <c r="D27" s="6"/>
      <c r="E27" s="6"/>
      <c r="F27" s="14" t="s">
        <v>29</v>
      </c>
      <c r="G27" s="33">
        <v>0.3</v>
      </c>
      <c r="H27" s="6" t="s">
        <v>19</v>
      </c>
      <c r="I27" s="6"/>
      <c r="J27" s="6"/>
      <c r="K27" s="4"/>
      <c r="L27" s="4"/>
    </row>
    <row r="28" spans="1:12" x14ac:dyDescent="0.25">
      <c r="A28" s="4"/>
      <c r="B28" s="6"/>
      <c r="C28" s="6"/>
      <c r="D28" s="6"/>
      <c r="E28" s="6"/>
      <c r="F28" s="14" t="s">
        <v>30</v>
      </c>
      <c r="G28" s="34">
        <v>0.65</v>
      </c>
      <c r="H28" s="6" t="s">
        <v>19</v>
      </c>
      <c r="I28" s="6"/>
      <c r="J28" s="6"/>
      <c r="K28" s="4"/>
      <c r="L28" s="4"/>
    </row>
    <row r="29" spans="1:12" x14ac:dyDescent="0.25">
      <c r="A29" s="4"/>
      <c r="B29" s="6"/>
      <c r="C29" s="6"/>
      <c r="D29" s="6"/>
      <c r="E29" s="6"/>
      <c r="F29" s="14" t="s">
        <v>31</v>
      </c>
      <c r="G29" s="34">
        <v>0.65</v>
      </c>
      <c r="H29" s="6" t="s">
        <v>19</v>
      </c>
      <c r="I29" s="6"/>
      <c r="J29" s="6"/>
      <c r="K29" s="4"/>
      <c r="L29" s="4"/>
    </row>
    <row r="30" spans="1:12" x14ac:dyDescent="0.25">
      <c r="A30" s="4"/>
      <c r="B30" s="6"/>
      <c r="C30" s="6"/>
      <c r="D30" s="6"/>
      <c r="E30" s="6"/>
      <c r="F30" s="14" t="s">
        <v>32</v>
      </c>
      <c r="G30" s="32">
        <f>G27+G28+G29</f>
        <v>1.6</v>
      </c>
      <c r="H30" s="6" t="s">
        <v>19</v>
      </c>
      <c r="I30" s="6"/>
      <c r="J30" s="6"/>
      <c r="K30" s="4"/>
      <c r="L30" s="4"/>
    </row>
    <row r="31" spans="1:12" x14ac:dyDescent="0.25">
      <c r="A31" s="4"/>
      <c r="B31" s="6"/>
      <c r="C31" s="6"/>
      <c r="D31" s="6"/>
      <c r="E31" s="6"/>
      <c r="F31" s="14" t="s">
        <v>33</v>
      </c>
      <c r="G31" s="35">
        <v>1.2</v>
      </c>
      <c r="H31" s="6" t="s">
        <v>19</v>
      </c>
      <c r="I31" s="6"/>
      <c r="J31" s="6"/>
      <c r="K31" s="4"/>
      <c r="L31" s="4"/>
    </row>
    <row r="32" spans="1:12" x14ac:dyDescent="0.25">
      <c r="A32" s="4"/>
      <c r="B32" s="6"/>
      <c r="C32" s="6"/>
      <c r="D32" s="6"/>
      <c r="E32" s="6"/>
      <c r="F32" s="14" t="s">
        <v>34</v>
      </c>
      <c r="G32" s="15">
        <v>11</v>
      </c>
      <c r="H32" s="6" t="s">
        <v>19</v>
      </c>
      <c r="I32" s="32"/>
      <c r="J32" s="6"/>
      <c r="K32" s="4"/>
      <c r="L32" s="4"/>
    </row>
    <row r="33" spans="1:15" x14ac:dyDescent="0.25">
      <c r="A33" s="6"/>
      <c r="B33" s="6"/>
      <c r="C33" s="6"/>
      <c r="D33" s="6"/>
      <c r="E33" s="6"/>
      <c r="F33" s="14" t="s">
        <v>35</v>
      </c>
      <c r="G33" s="15">
        <f>G31</f>
        <v>1.2</v>
      </c>
      <c r="H33" s="6" t="s">
        <v>19</v>
      </c>
      <c r="I33" s="6"/>
      <c r="J33" s="6"/>
      <c r="K33" s="6"/>
      <c r="L33" s="6"/>
      <c r="M33" s="1"/>
      <c r="N33" s="1"/>
      <c r="O33" s="1"/>
    </row>
    <row r="34" spans="1:15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4"/>
    </row>
    <row r="35" spans="1:15" x14ac:dyDescent="0.25">
      <c r="A35" s="6"/>
      <c r="B35" s="6"/>
      <c r="C35" s="6"/>
      <c r="D35" s="6"/>
      <c r="E35" s="225" t="s">
        <v>108</v>
      </c>
      <c r="F35" s="225"/>
      <c r="G35" s="6">
        <v>3.5</v>
      </c>
      <c r="H35" s="6" t="s">
        <v>19</v>
      </c>
      <c r="I35" s="4"/>
      <c r="J35" s="4"/>
      <c r="K35" s="4"/>
      <c r="L35" s="4"/>
    </row>
    <row r="36" spans="1:15" x14ac:dyDescent="0.25">
      <c r="A36" s="6"/>
      <c r="B36" s="6"/>
      <c r="C36" s="6"/>
      <c r="D36" s="6"/>
      <c r="E36" s="225" t="s">
        <v>109</v>
      </c>
      <c r="F36" s="225"/>
      <c r="G36" s="6">
        <v>0.3</v>
      </c>
      <c r="H36" s="6" t="s">
        <v>19</v>
      </c>
      <c r="I36" s="4"/>
      <c r="J36" s="4"/>
      <c r="K36" s="4"/>
      <c r="L36" s="4"/>
    </row>
    <row r="37" spans="1:15" x14ac:dyDescent="0.25">
      <c r="A37" s="6"/>
      <c r="B37" s="6"/>
      <c r="C37" s="6"/>
      <c r="D37" s="6"/>
      <c r="E37" s="225" t="s">
        <v>63</v>
      </c>
      <c r="F37" s="225"/>
      <c r="G37" s="6">
        <v>0.35</v>
      </c>
      <c r="H37" s="6" t="s">
        <v>19</v>
      </c>
      <c r="I37" s="6"/>
      <c r="J37" s="6"/>
      <c r="K37" s="6"/>
      <c r="L37" s="4"/>
    </row>
    <row r="38" spans="1:15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4"/>
    </row>
    <row r="39" spans="1:15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4"/>
    </row>
    <row r="40" spans="1:15" x14ac:dyDescent="0.25">
      <c r="A40" s="25" t="s">
        <v>36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1"/>
      <c r="N40" s="1"/>
      <c r="O40" s="1"/>
    </row>
    <row r="41" spans="1:15" x14ac:dyDescent="0.25">
      <c r="A41" s="25" t="s">
        <v>37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1"/>
      <c r="N41" s="1"/>
      <c r="O41" s="1"/>
    </row>
    <row r="42" spans="1:15" x14ac:dyDescent="0.25">
      <c r="A42" s="25"/>
      <c r="B42" s="229" t="s">
        <v>38</v>
      </c>
      <c r="C42" s="229"/>
      <c r="D42" s="227" t="s">
        <v>77</v>
      </c>
      <c r="E42" s="228" t="s">
        <v>39</v>
      </c>
      <c r="F42" s="227" t="s">
        <v>40</v>
      </c>
      <c r="G42" s="6"/>
      <c r="H42" s="6"/>
      <c r="I42" s="6"/>
      <c r="J42" s="6"/>
      <c r="K42" s="6"/>
      <c r="L42" s="6"/>
      <c r="M42" s="1"/>
      <c r="N42" s="1"/>
      <c r="O42" s="1"/>
    </row>
    <row r="43" spans="1:15" x14ac:dyDescent="0.25">
      <c r="A43" s="6"/>
      <c r="B43" s="229"/>
      <c r="C43" s="229"/>
      <c r="D43" s="227"/>
      <c r="E43" s="228"/>
      <c r="F43" s="227"/>
      <c r="G43" s="37"/>
      <c r="H43" s="37"/>
      <c r="I43" s="37"/>
      <c r="J43" s="38"/>
      <c r="K43" s="6"/>
      <c r="L43" s="6"/>
      <c r="M43" s="1"/>
      <c r="N43" s="1"/>
      <c r="O43" s="1"/>
    </row>
    <row r="44" spans="1:15" x14ac:dyDescent="0.25">
      <c r="A44" s="6"/>
      <c r="B44" s="227" t="s">
        <v>62</v>
      </c>
      <c r="C44" s="227"/>
      <c r="D44" s="10">
        <f>G31*G26*G32*D13</f>
        <v>1353.33</v>
      </c>
      <c r="E44" s="39">
        <v>0</v>
      </c>
      <c r="F44" s="10">
        <f>D44*E44</f>
        <v>0</v>
      </c>
      <c r="G44" s="40"/>
      <c r="H44" s="37"/>
      <c r="I44" s="37"/>
      <c r="J44" s="6"/>
      <c r="K44" s="6"/>
      <c r="L44" s="6"/>
      <c r="M44" s="1"/>
      <c r="N44" s="1"/>
      <c r="O44" s="1"/>
    </row>
    <row r="45" spans="1:15" x14ac:dyDescent="0.25">
      <c r="A45" s="6"/>
      <c r="B45" s="227" t="s">
        <v>41</v>
      </c>
      <c r="C45" s="227"/>
      <c r="D45" s="10">
        <f>G25*G30*G32*D13</f>
        <v>352.00000000000006</v>
      </c>
      <c r="E45" s="39">
        <f>-(G31/2)+G30/2</f>
        <v>0.20000000000000007</v>
      </c>
      <c r="F45" s="10">
        <f t="shared" ref="F45:F56" si="0">D45*E45</f>
        <v>70.400000000000034</v>
      </c>
      <c r="G45" s="40"/>
      <c r="H45" s="37"/>
      <c r="I45" s="37"/>
      <c r="J45" s="6"/>
      <c r="K45" s="6"/>
      <c r="L45" s="6"/>
      <c r="M45" s="1"/>
      <c r="N45" s="1"/>
      <c r="O45" s="1"/>
    </row>
    <row r="46" spans="1:15" x14ac:dyDescent="0.25">
      <c r="A46" s="6"/>
      <c r="B46" s="227" t="s">
        <v>42</v>
      </c>
      <c r="C46" s="227"/>
      <c r="D46" s="8">
        <f>G27*G24*G32*D13</f>
        <v>213.59249999999997</v>
      </c>
      <c r="E46" s="39">
        <f>-(G31/2)+(G27/2)-G37</f>
        <v>-0.79999999999999993</v>
      </c>
      <c r="F46" s="10">
        <f t="shared" si="0"/>
        <v>-170.87399999999997</v>
      </c>
      <c r="G46" s="40"/>
      <c r="H46" s="37"/>
      <c r="I46" s="37"/>
      <c r="J46" s="6"/>
      <c r="K46" s="6"/>
      <c r="L46" s="6"/>
      <c r="M46" s="1"/>
      <c r="N46" s="1"/>
      <c r="O46" s="1"/>
    </row>
    <row r="47" spans="1:15" x14ac:dyDescent="0.25">
      <c r="A47" s="6"/>
      <c r="B47" s="40"/>
      <c r="C47" s="37"/>
      <c r="D47" s="41">
        <f>SUM(D44:D46)</f>
        <v>1918.9224999999999</v>
      </c>
      <c r="E47" s="6"/>
      <c r="F47" s="41">
        <f>SUM(F44:F46)</f>
        <v>-100.47399999999993</v>
      </c>
      <c r="G47" s="6"/>
      <c r="H47" s="6"/>
      <c r="I47" s="6"/>
      <c r="J47" s="6"/>
      <c r="K47" s="6"/>
      <c r="L47" s="4"/>
    </row>
    <row r="48" spans="1:15" x14ac:dyDescent="0.25">
      <c r="A48" s="6"/>
      <c r="B48" s="230"/>
      <c r="C48" s="230"/>
      <c r="D48" s="4"/>
      <c r="E48" s="6"/>
      <c r="F48" s="4"/>
      <c r="G48" s="6"/>
      <c r="H48" s="6"/>
      <c r="I48" s="6"/>
      <c r="J48" s="6"/>
      <c r="K48" s="4"/>
      <c r="L48" s="4"/>
    </row>
    <row r="49" spans="1:15" x14ac:dyDescent="0.25">
      <c r="A49" s="6"/>
      <c r="B49" s="40"/>
      <c r="C49" s="37"/>
      <c r="D49" s="37"/>
      <c r="E49" s="6"/>
      <c r="F49" s="6"/>
      <c r="G49" s="6"/>
      <c r="H49" s="6"/>
      <c r="I49" s="6"/>
      <c r="J49" s="6"/>
      <c r="K49" s="4"/>
      <c r="L49" s="4"/>
    </row>
    <row r="50" spans="1:15" x14ac:dyDescent="0.25">
      <c r="A50" s="6"/>
      <c r="B50" s="6"/>
      <c r="C50" s="6"/>
      <c r="D50" s="6"/>
      <c r="E50" s="6"/>
      <c r="F50" s="4"/>
      <c r="G50" s="4"/>
      <c r="H50" s="4"/>
      <c r="I50" s="4"/>
      <c r="J50" s="4"/>
      <c r="K50" s="4"/>
      <c r="L50" s="4"/>
    </row>
    <row r="51" spans="1:15" x14ac:dyDescent="0.25">
      <c r="A51" s="6"/>
      <c r="B51" s="6"/>
      <c r="C51" s="6"/>
      <c r="D51" s="6"/>
      <c r="E51" s="6"/>
      <c r="F51" s="4"/>
      <c r="G51" s="4"/>
      <c r="H51" s="4"/>
      <c r="I51" s="4"/>
      <c r="J51" s="4"/>
      <c r="K51" s="4"/>
      <c r="L51" s="4"/>
    </row>
    <row r="52" spans="1:15" x14ac:dyDescent="0.25">
      <c r="A52" s="6"/>
      <c r="B52" s="40"/>
      <c r="C52" s="37"/>
      <c r="D52" s="37"/>
      <c r="E52" s="6"/>
      <c r="F52" s="42"/>
      <c r="G52" s="37"/>
      <c r="H52" s="43"/>
      <c r="I52" s="6"/>
      <c r="J52" s="6"/>
      <c r="K52" s="6"/>
      <c r="L52" s="6"/>
      <c r="M52" s="1"/>
      <c r="N52" s="1"/>
      <c r="O52" s="1"/>
    </row>
    <row r="53" spans="1:15" x14ac:dyDescent="0.25">
      <c r="A53" s="16" t="s">
        <v>43</v>
      </c>
      <c r="B53" s="40"/>
      <c r="C53" s="37"/>
      <c r="D53" s="43"/>
      <c r="E53" s="6"/>
      <c r="F53" s="42"/>
      <c r="G53" s="6"/>
      <c r="H53" s="6"/>
      <c r="I53" s="6"/>
      <c r="J53" s="6"/>
      <c r="K53" s="6"/>
      <c r="L53" s="6"/>
      <c r="M53" s="1"/>
      <c r="N53" s="1"/>
      <c r="O53" s="1"/>
    </row>
    <row r="54" spans="1:15" x14ac:dyDescent="0.25">
      <c r="A54" s="6"/>
      <c r="B54" s="226" t="s">
        <v>44</v>
      </c>
      <c r="C54" s="226"/>
      <c r="D54" s="44">
        <f>SUM(D3:D6)</f>
        <v>2253.4265</v>
      </c>
      <c r="E54" s="9">
        <f>-(G37+G33/2)+G27+G29</f>
        <v>0</v>
      </c>
      <c r="F54" s="10">
        <f t="shared" si="0"/>
        <v>0</v>
      </c>
      <c r="G54" s="6"/>
      <c r="H54" s="6"/>
      <c r="I54" s="6"/>
      <c r="J54" s="6"/>
      <c r="K54" s="6"/>
      <c r="L54" s="6"/>
      <c r="M54" s="1"/>
      <c r="N54" s="1"/>
      <c r="O54" s="1"/>
    </row>
    <row r="55" spans="1:15" x14ac:dyDescent="0.25">
      <c r="A55" s="6"/>
      <c r="B55" s="226" t="s">
        <v>59</v>
      </c>
      <c r="C55" s="226"/>
      <c r="D55" s="45">
        <f>D7</f>
        <v>247.5</v>
      </c>
      <c r="E55" s="9">
        <f>E54</f>
        <v>0</v>
      </c>
      <c r="F55" s="10">
        <f t="shared" si="0"/>
        <v>0</v>
      </c>
      <c r="G55" s="6"/>
      <c r="H55" s="6"/>
      <c r="I55" s="6"/>
      <c r="J55" s="6"/>
      <c r="K55" s="6"/>
      <c r="L55" s="6"/>
      <c r="M55" s="1"/>
      <c r="N55" s="1"/>
      <c r="O55" s="1"/>
    </row>
    <row r="56" spans="1:15" x14ac:dyDescent="0.25">
      <c r="A56" s="6"/>
      <c r="B56" s="226" t="s">
        <v>45</v>
      </c>
      <c r="C56" s="226"/>
      <c r="D56" s="10">
        <f>MAX(G3:G5)+G6</f>
        <v>892.58199999999999</v>
      </c>
      <c r="E56" s="9">
        <f>E55</f>
        <v>0</v>
      </c>
      <c r="F56" s="10">
        <f t="shared" si="0"/>
        <v>0</v>
      </c>
      <c r="G56" s="42"/>
      <c r="H56" s="6"/>
      <c r="I56" s="6"/>
      <c r="J56" s="6"/>
      <c r="K56" s="6"/>
      <c r="L56" s="6"/>
      <c r="M56" s="1"/>
      <c r="N56" s="1"/>
      <c r="O56" s="1"/>
    </row>
    <row r="57" spans="1:15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1:15" x14ac:dyDescent="0.25">
      <c r="A58" s="16" t="s">
        <v>46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1:15" x14ac:dyDescent="0.25">
      <c r="A59" s="6"/>
      <c r="B59" s="6"/>
      <c r="C59" s="14" t="s">
        <v>47</v>
      </c>
      <c r="D59" s="6">
        <v>35</v>
      </c>
      <c r="E59" s="6" t="s">
        <v>60</v>
      </c>
      <c r="F59" s="46" t="s">
        <v>48</v>
      </c>
      <c r="G59" s="6">
        <v>0</v>
      </c>
      <c r="H59" s="6"/>
      <c r="I59" s="37"/>
      <c r="J59" s="6"/>
      <c r="K59" s="6"/>
      <c r="L59" s="6"/>
    </row>
    <row r="60" spans="1:15" x14ac:dyDescent="0.25">
      <c r="A60" s="6"/>
      <c r="B60" s="6"/>
      <c r="C60" s="46" t="s">
        <v>49</v>
      </c>
      <c r="D60" s="47">
        <v>0</v>
      </c>
      <c r="E60" s="32"/>
      <c r="F60" s="48" t="s">
        <v>50</v>
      </c>
      <c r="G60" s="27">
        <f>IF(22.5&lt;(2/3)*D59,22.5,(2/3)*D59)</f>
        <v>22.5</v>
      </c>
      <c r="H60" s="14" t="s">
        <v>70</v>
      </c>
      <c r="I60" s="6"/>
      <c r="J60" s="6"/>
      <c r="K60" s="6"/>
      <c r="L60" s="6"/>
      <c r="M60" s="2"/>
      <c r="N60" s="1"/>
      <c r="O60" s="1"/>
    </row>
    <row r="61" spans="1:15" ht="16.2" x14ac:dyDescent="0.25">
      <c r="A61" s="6"/>
      <c r="B61" s="6"/>
      <c r="C61" s="14" t="s">
        <v>51</v>
      </c>
      <c r="D61" s="40">
        <f>findka(D59,D60,G60,G59)</f>
        <v>0.24448669401704909</v>
      </c>
      <c r="E61" s="40"/>
      <c r="F61" s="14" t="s">
        <v>52</v>
      </c>
      <c r="G61" s="15">
        <v>20</v>
      </c>
      <c r="H61" s="6" t="s">
        <v>78</v>
      </c>
      <c r="I61" s="6"/>
      <c r="J61" s="6"/>
      <c r="K61" s="6"/>
      <c r="L61" s="6"/>
      <c r="M61" s="1"/>
      <c r="N61" s="1"/>
      <c r="O61" s="1"/>
    </row>
    <row r="62" spans="1:15" x14ac:dyDescent="0.25">
      <c r="A62" s="6"/>
      <c r="B62" s="6"/>
      <c r="C62" s="14" t="s">
        <v>53</v>
      </c>
      <c r="D62" s="15">
        <f>G22-G36</f>
        <v>7.19</v>
      </c>
      <c r="E62" s="6" t="s">
        <v>19</v>
      </c>
      <c r="F62" s="46"/>
      <c r="G62" s="27"/>
      <c r="H62" s="6"/>
      <c r="I62" s="6"/>
      <c r="J62" s="6"/>
      <c r="K62" s="6"/>
      <c r="L62" s="6"/>
    </row>
    <row r="63" spans="1:15" ht="16.2" x14ac:dyDescent="0.25">
      <c r="A63" s="6"/>
      <c r="B63" s="6"/>
      <c r="C63" s="14" t="s">
        <v>54</v>
      </c>
      <c r="D63" s="6">
        <f>D61*G61*D62</f>
        <v>35.157186599651659</v>
      </c>
      <c r="E63" s="6" t="s">
        <v>78</v>
      </c>
      <c r="F63" s="48"/>
      <c r="G63" s="6"/>
      <c r="H63" s="6"/>
      <c r="I63" s="6"/>
      <c r="J63" s="6"/>
      <c r="K63" s="6"/>
      <c r="L63" s="6"/>
    </row>
    <row r="64" spans="1:15" x14ac:dyDescent="0.25">
      <c r="A64" s="6"/>
      <c r="B64" s="6"/>
      <c r="C64" s="14" t="s">
        <v>55</v>
      </c>
      <c r="D64" s="49">
        <f>0.5*D63*D62*G32</f>
        <v>1390.290944083225</v>
      </c>
      <c r="E64" s="14" t="s">
        <v>69</v>
      </c>
      <c r="F64" s="14">
        <v>0.42</v>
      </c>
      <c r="G64" s="4" t="s">
        <v>67</v>
      </c>
      <c r="H64" s="50"/>
      <c r="I64" s="50"/>
      <c r="J64" s="50"/>
      <c r="K64" s="50" t="s">
        <v>64</v>
      </c>
      <c r="L64" s="6"/>
    </row>
    <row r="65" spans="1:15" x14ac:dyDescent="0.25">
      <c r="A65" s="6"/>
      <c r="B65" s="6"/>
      <c r="C65" s="14"/>
      <c r="D65" s="32"/>
      <c r="E65" s="14" t="s">
        <v>69</v>
      </c>
      <c r="F65" s="6">
        <v>0.33</v>
      </c>
      <c r="G65" s="50" t="s">
        <v>68</v>
      </c>
      <c r="H65" s="50"/>
      <c r="I65" s="50"/>
      <c r="J65" s="50"/>
      <c r="K65" s="50"/>
      <c r="L65" s="6"/>
    </row>
    <row r="66" spans="1:15" x14ac:dyDescent="0.25">
      <c r="A66" s="6"/>
      <c r="B66" s="4"/>
      <c r="C66" s="4"/>
      <c r="D66" s="15"/>
      <c r="E66" s="6"/>
      <c r="F66" s="6"/>
      <c r="G66" s="6"/>
      <c r="H66" s="6"/>
      <c r="I66" s="6"/>
      <c r="J66" s="6"/>
      <c r="K66" s="6"/>
      <c r="L66" s="6"/>
    </row>
    <row r="67" spans="1:15" x14ac:dyDescent="0.25">
      <c r="A67" s="6"/>
      <c r="B67" s="4"/>
      <c r="C67" s="4"/>
      <c r="D67" s="27"/>
      <c r="E67" s="6"/>
      <c r="F67" s="6"/>
      <c r="G67" s="6"/>
      <c r="H67" s="6"/>
      <c r="I67" s="6"/>
      <c r="J67" s="6"/>
      <c r="K67" s="6"/>
      <c r="L67" s="6"/>
    </row>
    <row r="68" spans="1:15" x14ac:dyDescent="0.25">
      <c r="A68" s="6"/>
      <c r="B68" s="6"/>
      <c r="C68" s="8"/>
      <c r="D68" s="51" t="s">
        <v>85</v>
      </c>
      <c r="E68" s="36" t="s">
        <v>88</v>
      </c>
      <c r="F68" s="36" t="s">
        <v>40</v>
      </c>
      <c r="G68" s="6"/>
      <c r="H68" s="6"/>
      <c r="I68" s="6"/>
      <c r="J68" s="6"/>
      <c r="K68" s="6"/>
      <c r="L68" s="6"/>
    </row>
    <row r="69" spans="1:15" x14ac:dyDescent="0.25">
      <c r="A69" s="6"/>
      <c r="B69" s="6"/>
      <c r="C69" s="5" t="s">
        <v>65</v>
      </c>
      <c r="D69" s="3">
        <f>D64*COS(G60*PI()/180)</f>
        <v>1284.4613474742855</v>
      </c>
      <c r="E69" s="5">
        <f>(F64*D62)+N2</f>
        <v>4.8197999999999999</v>
      </c>
      <c r="F69" s="3">
        <f>D69*E69</f>
        <v>6190.8468025565608</v>
      </c>
      <c r="G69" s="4"/>
      <c r="H69" s="4"/>
      <c r="I69" s="4"/>
      <c r="J69" s="4"/>
      <c r="K69" s="4"/>
      <c r="L69" s="4"/>
    </row>
    <row r="70" spans="1:15" x14ac:dyDescent="0.25">
      <c r="A70" s="6"/>
      <c r="B70" s="6"/>
      <c r="C70" s="5" t="s">
        <v>66</v>
      </c>
      <c r="D70" s="3">
        <f>D64*SIN(G60*PI()/180)</f>
        <v>532.04131046786961</v>
      </c>
      <c r="E70" s="5">
        <f>-G33/2</f>
        <v>-0.6</v>
      </c>
      <c r="F70" s="3">
        <f>D70*E70</f>
        <v>-319.22478628072173</v>
      </c>
      <c r="G70" s="4"/>
      <c r="H70" s="4"/>
      <c r="I70" s="4"/>
      <c r="J70" s="4"/>
      <c r="K70" s="4"/>
      <c r="L70" s="4"/>
    </row>
    <row r="71" spans="1:15" x14ac:dyDescent="0.25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</row>
    <row r="72" spans="1:15" x14ac:dyDescent="0.25">
      <c r="A72" s="224" t="s">
        <v>79</v>
      </c>
      <c r="B72" s="224"/>
      <c r="C72" s="224"/>
      <c r="D72" s="6"/>
      <c r="E72" s="4"/>
      <c r="F72" s="4"/>
      <c r="G72" s="4"/>
      <c r="H72" s="4"/>
      <c r="I72" s="4"/>
      <c r="J72" s="4"/>
      <c r="K72" s="4"/>
      <c r="L72" s="4"/>
    </row>
    <row r="73" spans="1:15" x14ac:dyDescent="0.25">
      <c r="A73" s="6"/>
      <c r="B73" s="6"/>
      <c r="C73" s="6"/>
      <c r="D73" s="6"/>
      <c r="E73" s="4"/>
      <c r="F73" s="4" t="s">
        <v>83</v>
      </c>
      <c r="G73" s="4" t="s">
        <v>84</v>
      </c>
      <c r="H73" s="4" t="s">
        <v>85</v>
      </c>
      <c r="I73" s="4"/>
      <c r="J73" s="4"/>
      <c r="K73" s="4"/>
      <c r="L73" s="4"/>
    </row>
    <row r="74" spans="1:15" x14ac:dyDescent="0.25">
      <c r="A74" s="1"/>
      <c r="B74" s="238" t="s">
        <v>80</v>
      </c>
      <c r="C74" s="238"/>
      <c r="D74" s="1">
        <v>1000</v>
      </c>
      <c r="E74" s="54" t="s">
        <v>81</v>
      </c>
      <c r="F74" s="4">
        <v>1</v>
      </c>
      <c r="G74" s="4">
        <v>0.2</v>
      </c>
      <c r="H74" s="4">
        <f>G74*F74*D74</f>
        <v>200</v>
      </c>
      <c r="I74" s="135" t="s">
        <v>81</v>
      </c>
      <c r="J74" s="135"/>
      <c r="K74" s="135"/>
      <c r="L74" s="135"/>
      <c r="M74" s="135"/>
      <c r="N74" s="135"/>
      <c r="O74" s="135"/>
    </row>
    <row r="75" spans="1:15" x14ac:dyDescent="0.25">
      <c r="A75" s="4"/>
      <c r="B75" s="239" t="s">
        <v>82</v>
      </c>
      <c r="C75" s="239"/>
      <c r="D75" s="4">
        <v>554</v>
      </c>
      <c r="E75" s="54" t="s">
        <v>81</v>
      </c>
      <c r="F75" s="4">
        <v>1</v>
      </c>
      <c r="G75" s="4">
        <v>0.2</v>
      </c>
      <c r="H75" s="4">
        <f>G75*F75*D75</f>
        <v>110.80000000000001</v>
      </c>
      <c r="I75" s="135" t="s">
        <v>81</v>
      </c>
      <c r="J75" s="135"/>
      <c r="K75" s="135"/>
      <c r="L75" s="135"/>
      <c r="M75" s="135"/>
      <c r="N75" s="135"/>
      <c r="O75" s="135"/>
    </row>
    <row r="76" spans="1:15" x14ac:dyDescent="0.25">
      <c r="A76" s="4"/>
      <c r="B76" s="4"/>
      <c r="C76" s="4"/>
      <c r="D76" s="4"/>
      <c r="E76" s="4"/>
      <c r="F76" s="4"/>
      <c r="G76" s="4"/>
      <c r="H76" s="4"/>
      <c r="I76" s="4"/>
    </row>
    <row r="77" spans="1:15" x14ac:dyDescent="0.25">
      <c r="A77" s="239" t="s">
        <v>86</v>
      </c>
      <c r="B77" s="239"/>
      <c r="C77" s="239"/>
      <c r="D77" s="4">
        <v>1.2</v>
      </c>
      <c r="E77" s="4" t="s">
        <v>87</v>
      </c>
      <c r="F77" s="4"/>
      <c r="G77" s="4"/>
      <c r="H77" s="4"/>
      <c r="I77" s="4"/>
    </row>
    <row r="78" spans="1:15" x14ac:dyDescent="0.25">
      <c r="A78" s="4"/>
      <c r="B78" s="4"/>
      <c r="C78" s="4"/>
      <c r="D78" s="4"/>
      <c r="F78" s="53" t="s">
        <v>90</v>
      </c>
      <c r="G78" s="4"/>
      <c r="H78" s="4" t="s">
        <v>40</v>
      </c>
    </row>
    <row r="79" spans="1:15" x14ac:dyDescent="0.25">
      <c r="A79" s="4"/>
      <c r="B79" s="239" t="s">
        <v>89</v>
      </c>
      <c r="C79" s="239"/>
      <c r="D79" s="4">
        <f>H74</f>
        <v>200</v>
      </c>
      <c r="E79" t="s">
        <v>81</v>
      </c>
      <c r="F79" s="56">
        <f>(G22-G18)+N2</f>
        <v>6.99</v>
      </c>
      <c r="G79" t="s">
        <v>19</v>
      </c>
      <c r="H79" s="4">
        <f>D79*F79</f>
        <v>1398</v>
      </c>
      <c r="I79" s="4" t="s">
        <v>336</v>
      </c>
    </row>
    <row r="80" spans="1:15" x14ac:dyDescent="0.25">
      <c r="A80" s="4"/>
      <c r="B80" s="4"/>
      <c r="C80" s="4"/>
      <c r="D80" s="4"/>
      <c r="E80" s="4"/>
      <c r="F80" s="4"/>
      <c r="G80" s="4"/>
      <c r="H80" s="4"/>
      <c r="I80" s="4"/>
    </row>
    <row r="81" spans="1:11" x14ac:dyDescent="0.25">
      <c r="A81" s="4"/>
      <c r="B81" s="4"/>
      <c r="C81" s="4"/>
      <c r="D81" s="4"/>
      <c r="E81" s="4"/>
      <c r="F81" s="4"/>
      <c r="G81" s="4"/>
      <c r="H81" s="4"/>
      <c r="I81" s="4"/>
    </row>
    <row r="82" spans="1:11" x14ac:dyDescent="0.25">
      <c r="A82" s="239" t="s">
        <v>400</v>
      </c>
      <c r="B82" s="239"/>
      <c r="C82" s="239"/>
      <c r="D82" s="4">
        <f>(D79*D77)/D92</f>
        <v>8</v>
      </c>
      <c r="E82" s="4" t="s">
        <v>81</v>
      </c>
      <c r="F82" s="132">
        <f>E54</f>
        <v>0</v>
      </c>
      <c r="G82" s="4" t="s">
        <v>19</v>
      </c>
      <c r="H82" s="4">
        <f>D82*F82</f>
        <v>0</v>
      </c>
      <c r="I82" s="4" t="s">
        <v>336</v>
      </c>
    </row>
    <row r="83" spans="1:11" x14ac:dyDescent="0.25">
      <c r="A83" s="4"/>
      <c r="B83" s="4"/>
      <c r="C83" s="4"/>
      <c r="D83" s="4"/>
      <c r="E83" s="4"/>
      <c r="F83" s="4"/>
      <c r="G83" s="4"/>
      <c r="H83" s="4"/>
      <c r="I83" s="4"/>
    </row>
    <row r="84" spans="1:11" x14ac:dyDescent="0.25">
      <c r="A84" s="4"/>
      <c r="B84" s="4"/>
      <c r="C84" s="4"/>
      <c r="D84" s="4"/>
      <c r="E84" s="4"/>
      <c r="F84" s="4"/>
      <c r="G84" s="4"/>
      <c r="H84" s="4"/>
      <c r="I84" s="4"/>
    </row>
    <row r="85" spans="1:11" x14ac:dyDescent="0.25">
      <c r="A85" s="4"/>
      <c r="B85" s="4"/>
      <c r="C85" s="4"/>
      <c r="D85" s="4"/>
      <c r="E85" s="4"/>
      <c r="F85" s="4"/>
      <c r="G85" s="4"/>
      <c r="H85" s="4"/>
      <c r="I85" s="4"/>
    </row>
    <row r="86" spans="1:11" x14ac:dyDescent="0.25">
      <c r="A86" s="4"/>
      <c r="B86" s="4"/>
      <c r="C86" s="4"/>
      <c r="D86" s="4"/>
      <c r="E86" s="4"/>
      <c r="F86" s="4"/>
      <c r="G86" s="4"/>
      <c r="H86" s="4"/>
      <c r="I86" s="4"/>
    </row>
    <row r="87" spans="1:11" ht="15" x14ac:dyDescent="0.25">
      <c r="A87" s="4"/>
      <c r="B87" s="239"/>
      <c r="C87" s="239"/>
      <c r="D87" s="4"/>
      <c r="E87" s="55"/>
      <c r="F87" s="4"/>
      <c r="G87" s="4"/>
      <c r="H87" s="4"/>
      <c r="I87" s="4"/>
      <c r="K87" s="4"/>
    </row>
    <row r="88" spans="1:11" x14ac:dyDescent="0.25">
      <c r="A88" s="216" t="s">
        <v>91</v>
      </c>
      <c r="B88" s="216"/>
      <c r="C88" s="216"/>
    </row>
    <row r="90" spans="1:11" x14ac:dyDescent="0.25">
      <c r="B90" s="217" t="s">
        <v>92</v>
      </c>
      <c r="C90" s="217"/>
      <c r="D90">
        <v>32.5</v>
      </c>
      <c r="E90" t="s">
        <v>93</v>
      </c>
    </row>
    <row r="91" spans="1:11" x14ac:dyDescent="0.25">
      <c r="A91" s="217" t="s">
        <v>94</v>
      </c>
      <c r="B91" s="217"/>
      <c r="C91" s="217"/>
      <c r="D91">
        <f>12*10^-6</f>
        <v>1.2E-5</v>
      </c>
    </row>
    <row r="92" spans="1:11" x14ac:dyDescent="0.25">
      <c r="B92" s="217" t="s">
        <v>95</v>
      </c>
      <c r="C92" s="217"/>
      <c r="D92" s="57">
        <v>30</v>
      </c>
      <c r="E92" t="s">
        <v>19</v>
      </c>
    </row>
    <row r="93" spans="1:11" x14ac:dyDescent="0.25">
      <c r="A93" s="217" t="s">
        <v>96</v>
      </c>
      <c r="B93" s="217"/>
      <c r="C93" s="217"/>
      <c r="D93">
        <f>2*10^-4</f>
        <v>2.0000000000000001E-4</v>
      </c>
    </row>
    <row r="94" spans="1:11" x14ac:dyDescent="0.25">
      <c r="A94" s="217" t="s">
        <v>97</v>
      </c>
      <c r="B94" s="217"/>
      <c r="C94" s="217"/>
      <c r="D94">
        <f>D91*D90*D92</f>
        <v>1.17E-2</v>
      </c>
    </row>
    <row r="95" spans="1:11" x14ac:dyDescent="0.25">
      <c r="A95" s="217" t="s">
        <v>98</v>
      </c>
      <c r="B95" s="217"/>
      <c r="C95" s="217"/>
      <c r="D95">
        <f>D93*D92</f>
        <v>6.0000000000000001E-3</v>
      </c>
    </row>
    <row r="96" spans="1:11" x14ac:dyDescent="0.25">
      <c r="A96" s="217" t="s">
        <v>99</v>
      </c>
      <c r="B96" s="217"/>
      <c r="C96" s="217"/>
      <c r="D96">
        <f>(D94+D95)/2</f>
        <v>8.8500000000000002E-3</v>
      </c>
    </row>
    <row r="97" spans="1:9" ht="16.2" x14ac:dyDescent="0.25">
      <c r="A97" s="217" t="s">
        <v>100</v>
      </c>
      <c r="B97" s="217"/>
      <c r="C97" s="217"/>
      <c r="D97">
        <v>1000</v>
      </c>
      <c r="E97" t="s">
        <v>101</v>
      </c>
    </row>
    <row r="98" spans="1:9" x14ac:dyDescent="0.25">
      <c r="A98" s="217" t="s">
        <v>106</v>
      </c>
      <c r="B98" s="217"/>
      <c r="C98" s="217"/>
      <c r="D98">
        <v>1.1000000000000001</v>
      </c>
    </row>
    <row r="99" spans="1:9" ht="16.2" x14ac:dyDescent="0.25">
      <c r="B99" s="217" t="s">
        <v>102</v>
      </c>
      <c r="C99" s="217"/>
      <c r="D99">
        <f>0.5*0.35</f>
        <v>0.17499999999999999</v>
      </c>
      <c r="E99" t="s">
        <v>107</v>
      </c>
    </row>
    <row r="100" spans="1:9" x14ac:dyDescent="0.25">
      <c r="B100" s="52" t="s">
        <v>103</v>
      </c>
      <c r="C100" s="52"/>
      <c r="D100">
        <v>6.4000000000000001E-2</v>
      </c>
      <c r="E100" t="s">
        <v>19</v>
      </c>
    </row>
    <row r="101" spans="1:9" x14ac:dyDescent="0.25">
      <c r="A101" s="217" t="s">
        <v>104</v>
      </c>
      <c r="B101" s="217"/>
      <c r="C101" s="217"/>
      <c r="D101">
        <v>3</v>
      </c>
    </row>
    <row r="102" spans="1:9" x14ac:dyDescent="0.25">
      <c r="B102" s="217" t="s">
        <v>85</v>
      </c>
      <c r="C102" s="217"/>
      <c r="D102">
        <f>D98*D97*(D99/D100)*D96</f>
        <v>26.619140624999996</v>
      </c>
      <c r="E102" t="s">
        <v>81</v>
      </c>
    </row>
    <row r="103" spans="1:9" x14ac:dyDescent="0.25">
      <c r="A103" s="217" t="s">
        <v>105</v>
      </c>
      <c r="B103" s="217"/>
      <c r="C103" s="217"/>
      <c r="D103" s="57">
        <f>D102*D101</f>
        <v>79.857421874999986</v>
      </c>
      <c r="E103" t="s">
        <v>81</v>
      </c>
      <c r="F103" s="58">
        <f>G26+G25+G19+N2</f>
        <v>6.915</v>
      </c>
      <c r="G103" t="s">
        <v>173</v>
      </c>
      <c r="H103">
        <f>D103*F103</f>
        <v>552.21407226562485</v>
      </c>
      <c r="I103" t="s">
        <v>336</v>
      </c>
    </row>
    <row r="106" spans="1:9" x14ac:dyDescent="0.25">
      <c r="A106" s="216" t="s">
        <v>110</v>
      </c>
      <c r="B106" s="216"/>
      <c r="C106" s="216"/>
    </row>
    <row r="108" spans="1:9" ht="16.2" x14ac:dyDescent="0.35">
      <c r="C108" s="52" t="s">
        <v>111</v>
      </c>
      <c r="D108" s="58">
        <f>D61</f>
        <v>0.24448669401704909</v>
      </c>
    </row>
    <row r="109" spans="1:9" x14ac:dyDescent="0.25">
      <c r="C109" s="52" t="s">
        <v>53</v>
      </c>
      <c r="D109">
        <v>1.2</v>
      </c>
      <c r="E109" t="s">
        <v>19</v>
      </c>
    </row>
    <row r="110" spans="1:9" ht="16.2" x14ac:dyDescent="0.25">
      <c r="C110" s="30" t="s">
        <v>52</v>
      </c>
      <c r="D110">
        <v>20</v>
      </c>
      <c r="E110" t="s">
        <v>112</v>
      </c>
    </row>
    <row r="112" spans="1:9" x14ac:dyDescent="0.25">
      <c r="B112" s="217" t="s">
        <v>113</v>
      </c>
      <c r="C112" s="217"/>
      <c r="D112">
        <f>D108*D109*D110</f>
        <v>5.8676806564091777</v>
      </c>
    </row>
    <row r="113" spans="1:12" x14ac:dyDescent="0.25">
      <c r="B113" s="217" t="s">
        <v>85</v>
      </c>
      <c r="C113" s="217"/>
      <c r="D113">
        <f>D112*G32*D62</f>
        <v>464.07486311540191</v>
      </c>
      <c r="E113">
        <f>(G22/2)+N2</f>
        <v>5.5449999999999999</v>
      </c>
      <c r="F113">
        <f>D113*E113</f>
        <v>2573.2951159749036</v>
      </c>
      <c r="G113" t="s">
        <v>145</v>
      </c>
    </row>
    <row r="114" spans="1:12" x14ac:dyDescent="0.25">
      <c r="B114" s="217"/>
      <c r="C114" s="217"/>
    </row>
    <row r="115" spans="1:12" x14ac:dyDescent="0.25">
      <c r="B115" s="217"/>
      <c r="C115" s="217"/>
    </row>
    <row r="116" spans="1:12" x14ac:dyDescent="0.25">
      <c r="B116" s="217"/>
      <c r="C116" s="217"/>
    </row>
    <row r="119" spans="1:12" x14ac:dyDescent="0.25">
      <c r="A119" s="216" t="s">
        <v>114</v>
      </c>
      <c r="B119" s="216"/>
      <c r="C119" s="216"/>
    </row>
    <row r="121" spans="1:12" x14ac:dyDescent="0.25">
      <c r="C121" t="s">
        <v>115</v>
      </c>
      <c r="D121">
        <v>0.36</v>
      </c>
      <c r="E121" t="s">
        <v>116</v>
      </c>
      <c r="F121">
        <v>1</v>
      </c>
      <c r="H121" t="s">
        <v>117</v>
      </c>
      <c r="I121">
        <v>3</v>
      </c>
    </row>
    <row r="122" spans="1:12" x14ac:dyDescent="0.25">
      <c r="C122" t="s">
        <v>118</v>
      </c>
      <c r="D122">
        <f>D121/2 *F121*F122</f>
        <v>0.44999999999999996</v>
      </c>
      <c r="E122" t="s">
        <v>119</v>
      </c>
      <c r="F122">
        <v>2.5</v>
      </c>
    </row>
    <row r="123" spans="1:12" x14ac:dyDescent="0.25">
      <c r="C123" t="s">
        <v>120</v>
      </c>
      <c r="D123">
        <f>D122/I121</f>
        <v>0.15</v>
      </c>
    </row>
    <row r="126" spans="1:12" x14ac:dyDescent="0.25">
      <c r="C126" s="240" t="s">
        <v>121</v>
      </c>
      <c r="D126" s="240"/>
      <c r="E126" s="66"/>
      <c r="F126" s="66"/>
      <c r="G126" s="66"/>
      <c r="H126" s="66"/>
    </row>
    <row r="127" spans="1:12" x14ac:dyDescent="0.25">
      <c r="C127" s="65"/>
      <c r="D127" s="65"/>
      <c r="E127" s="65" t="s">
        <v>123</v>
      </c>
      <c r="F127" s="65" t="s">
        <v>124</v>
      </c>
      <c r="G127" s="77" t="s">
        <v>125</v>
      </c>
      <c r="H127" s="65" t="s">
        <v>40</v>
      </c>
      <c r="I127" s="59"/>
      <c r="J127" s="59"/>
      <c r="K127" s="60"/>
      <c r="L127" s="59"/>
    </row>
    <row r="128" spans="1:12" x14ac:dyDescent="0.25">
      <c r="C128" s="67"/>
      <c r="D128" s="65" t="s">
        <v>62</v>
      </c>
      <c r="E128" s="61">
        <f>D44</f>
        <v>1353.33</v>
      </c>
      <c r="F128" s="66">
        <f>E128*$D$123</f>
        <v>202.99949999999998</v>
      </c>
      <c r="G128" s="78">
        <f>(G26/2)+N2</f>
        <v>3.8505000000000003</v>
      </c>
      <c r="H128" s="66">
        <f>F128*G128</f>
        <v>781.64957474999994</v>
      </c>
    </row>
    <row r="129" spans="3:12" x14ac:dyDescent="0.25">
      <c r="C129" s="65"/>
      <c r="D129" s="65" t="s">
        <v>41</v>
      </c>
      <c r="E129" s="61">
        <f>D45</f>
        <v>352.00000000000006</v>
      </c>
      <c r="F129" s="66">
        <f>E129*$D$123</f>
        <v>52.800000000000004</v>
      </c>
      <c r="G129" s="66">
        <f>(G26+G25/2)+N2</f>
        <v>6.3010000000000002</v>
      </c>
      <c r="H129" s="66">
        <f t="shared" ref="H129:H130" si="1">F129*G129</f>
        <v>332.69280000000003</v>
      </c>
    </row>
    <row r="130" spans="3:12" x14ac:dyDescent="0.25">
      <c r="C130" s="65"/>
      <c r="D130" s="65" t="s">
        <v>122</v>
      </c>
      <c r="E130" s="65">
        <f>D46</f>
        <v>213.59249999999997</v>
      </c>
      <c r="F130" s="66">
        <f>E130*$D$123</f>
        <v>32.038874999999997</v>
      </c>
      <c r="G130" s="78">
        <f>(G26+G25+G24/2)+N2</f>
        <v>7.9954999999999998</v>
      </c>
      <c r="H130" s="66">
        <f t="shared" si="1"/>
        <v>256.16682506249998</v>
      </c>
    </row>
    <row r="131" spans="3:12" x14ac:dyDescent="0.25">
      <c r="C131" s="59"/>
      <c r="D131" s="62"/>
      <c r="E131" s="62"/>
    </row>
    <row r="132" spans="3:12" x14ac:dyDescent="0.25">
      <c r="C132" s="59"/>
      <c r="D132" s="62"/>
      <c r="E132" s="62"/>
      <c r="F132" s="57">
        <f>SUM(F128:F130)</f>
        <v>287.83837499999998</v>
      </c>
      <c r="H132" s="57">
        <f>SUM(H128:H130)</f>
        <v>1370.5091998125001</v>
      </c>
    </row>
    <row r="133" spans="3:12" x14ac:dyDescent="0.25">
      <c r="C133" s="59"/>
      <c r="D133" s="62"/>
      <c r="E133" s="62"/>
    </row>
    <row r="134" spans="3:12" x14ac:dyDescent="0.25">
      <c r="C134" s="59"/>
      <c r="D134" s="62"/>
      <c r="E134" s="62"/>
    </row>
    <row r="135" spans="3:12" x14ac:dyDescent="0.25">
      <c r="C135" s="241" t="s">
        <v>126</v>
      </c>
      <c r="D135" s="241"/>
      <c r="E135" s="59">
        <f>D8</f>
        <v>2500.9265</v>
      </c>
      <c r="F135">
        <f>E135*D123</f>
        <v>375.13897500000002</v>
      </c>
      <c r="G135" s="58">
        <f>(G22-G18/3 -G23)+N2</f>
        <v>8.4483333333333341</v>
      </c>
      <c r="H135">
        <f>F135*G135</f>
        <v>3169.2991071250003</v>
      </c>
    </row>
    <row r="136" spans="3:12" x14ac:dyDescent="0.25">
      <c r="C136" s="59"/>
      <c r="D136" s="62"/>
      <c r="E136" s="62"/>
    </row>
    <row r="137" spans="3:12" x14ac:dyDescent="0.25">
      <c r="C137" s="59"/>
      <c r="D137" s="62"/>
      <c r="E137" s="246" t="s">
        <v>147</v>
      </c>
      <c r="F137" s="246"/>
      <c r="G137" s="246"/>
    </row>
    <row r="138" spans="3:12" x14ac:dyDescent="0.25">
      <c r="C138" s="241" t="s">
        <v>127</v>
      </c>
      <c r="D138" s="241"/>
      <c r="E138" s="62"/>
    </row>
    <row r="139" spans="3:12" x14ac:dyDescent="0.25">
      <c r="E139" s="62"/>
    </row>
    <row r="140" spans="3:12" x14ac:dyDescent="0.25">
      <c r="C140" s="59"/>
      <c r="D140" s="59" t="s">
        <v>128</v>
      </c>
      <c r="E140" s="59">
        <f>D123</f>
        <v>0.15</v>
      </c>
      <c r="F140" s="59"/>
      <c r="G140" s="72" t="s">
        <v>133</v>
      </c>
      <c r="H140" s="63">
        <v>0</v>
      </c>
      <c r="I140" s="64"/>
      <c r="J140" s="59"/>
      <c r="K140" s="62"/>
      <c r="L140" s="62"/>
    </row>
    <row r="141" spans="3:12" x14ac:dyDescent="0.25">
      <c r="D141" t="s">
        <v>129</v>
      </c>
      <c r="E141">
        <f>2/3 *E140</f>
        <v>9.9999999999999992E-2</v>
      </c>
      <c r="G141" s="73" t="s">
        <v>134</v>
      </c>
      <c r="H141" s="69">
        <v>0</v>
      </c>
    </row>
    <row r="142" spans="3:12" x14ac:dyDescent="0.25">
      <c r="D142" s="71" t="s">
        <v>130</v>
      </c>
      <c r="E142" s="58">
        <f>MAX(ATAN(E140/(1-E141)),ATAN(E140/(1+E141)))</f>
        <v>0.16514867741462683</v>
      </c>
      <c r="F142" t="s">
        <v>132</v>
      </c>
      <c r="G142" s="73" t="s">
        <v>135</v>
      </c>
      <c r="H142" s="68">
        <f>G60</f>
        <v>22.5</v>
      </c>
    </row>
    <row r="143" spans="3:12" x14ac:dyDescent="0.25">
      <c r="G143" s="73" t="s">
        <v>136</v>
      </c>
      <c r="H143">
        <f>D59</f>
        <v>35</v>
      </c>
    </row>
    <row r="144" spans="3:12" ht="16.2" x14ac:dyDescent="0.25">
      <c r="G144" s="73" t="s">
        <v>137</v>
      </c>
      <c r="H144" s="70">
        <f>G61</f>
        <v>20</v>
      </c>
      <c r="I144" t="s">
        <v>138</v>
      </c>
    </row>
    <row r="145" spans="2:10" x14ac:dyDescent="0.25">
      <c r="D145" t="s">
        <v>131</v>
      </c>
      <c r="E145" s="74">
        <f>(1+E141)*findcaeq(H143,E142,H140,H142,H141)</f>
        <v>0.39088809508659333</v>
      </c>
    </row>
    <row r="147" spans="2:10" x14ac:dyDescent="0.25">
      <c r="D147" t="s">
        <v>139</v>
      </c>
      <c r="E147" s="58">
        <f>E145-D61</f>
        <v>0.14640140106954425</v>
      </c>
      <c r="G147" s="75" t="s">
        <v>142</v>
      </c>
      <c r="H147" s="70">
        <f>D62</f>
        <v>7.19</v>
      </c>
      <c r="I147" t="s">
        <v>19</v>
      </c>
    </row>
    <row r="149" spans="2:10" ht="16.2" x14ac:dyDescent="0.25">
      <c r="C149" s="217" t="s">
        <v>140</v>
      </c>
      <c r="D149" s="217"/>
      <c r="E149">
        <f>E147*H144*D62</f>
        <v>21.052521473800464</v>
      </c>
      <c r="F149" t="s">
        <v>112</v>
      </c>
      <c r="G149" s="52" t="s">
        <v>143</v>
      </c>
      <c r="H149" s="70">
        <f>G32</f>
        <v>11</v>
      </c>
      <c r="I149" t="s">
        <v>19</v>
      </c>
    </row>
    <row r="151" spans="2:10" x14ac:dyDescent="0.25">
      <c r="B151" s="217" t="s">
        <v>141</v>
      </c>
      <c r="C151" s="217"/>
      <c r="D151" s="217"/>
      <c r="E151" s="76">
        <f>1/2*E149*H147*H149</f>
        <v>832.52196168143939</v>
      </c>
      <c r="F151" t="s">
        <v>81</v>
      </c>
      <c r="G151">
        <f>(H147/2)+N2</f>
        <v>5.3950000000000005</v>
      </c>
      <c r="H151" t="s">
        <v>144</v>
      </c>
      <c r="I151" s="76">
        <f>E151*G151</f>
        <v>4491.4559832713658</v>
      </c>
      <c r="J151" t="s">
        <v>145</v>
      </c>
    </row>
    <row r="154" spans="2:10" x14ac:dyDescent="0.25">
      <c r="C154" s="217" t="s">
        <v>146</v>
      </c>
      <c r="D154" s="217"/>
    </row>
    <row r="156" spans="2:10" x14ac:dyDescent="0.25">
      <c r="D156" t="s">
        <v>85</v>
      </c>
      <c r="E156" s="57">
        <f>H144 *E147*H147*H149*D109</f>
        <v>277.89328345416612</v>
      </c>
      <c r="F156" t="s">
        <v>81</v>
      </c>
      <c r="G156">
        <f>(G22/2)+N2</f>
        <v>5.5449999999999999</v>
      </c>
      <c r="H156" t="s">
        <v>144</v>
      </c>
      <c r="I156" s="57">
        <f>E156*G156</f>
        <v>1540.9182567533512</v>
      </c>
      <c r="J156" t="s">
        <v>145</v>
      </c>
    </row>
    <row r="163" spans="1:15" x14ac:dyDescent="0.25">
      <c r="C163" s="79"/>
      <c r="D163" s="79"/>
      <c r="E163" s="79"/>
      <c r="F163" s="80"/>
      <c r="G163" s="79"/>
      <c r="H163" s="79"/>
      <c r="I163" s="79"/>
      <c r="J163" s="79"/>
      <c r="K163" s="80"/>
      <c r="L163" s="79"/>
    </row>
    <row r="164" spans="1:15" x14ac:dyDescent="0.25">
      <c r="A164" s="220" t="s">
        <v>148</v>
      </c>
      <c r="B164" s="220"/>
      <c r="E164" s="79"/>
      <c r="F164" s="79"/>
      <c r="G164" s="60" t="s">
        <v>2</v>
      </c>
      <c r="H164" s="79"/>
      <c r="I164" s="79"/>
      <c r="J164" s="254" t="s">
        <v>477</v>
      </c>
      <c r="K164" s="254"/>
      <c r="L164" s="254"/>
      <c r="N164" s="255" t="s">
        <v>478</v>
      </c>
      <c r="O164" s="255"/>
    </row>
    <row r="165" spans="1:15" x14ac:dyDescent="0.25">
      <c r="C165" s="79"/>
      <c r="D165" s="59"/>
      <c r="E165" s="59"/>
      <c r="F165" s="215" t="s">
        <v>149</v>
      </c>
      <c r="G165" s="215"/>
      <c r="H165" s="213" t="s">
        <v>150</v>
      </c>
      <c r="I165" s="79"/>
    </row>
    <row r="166" spans="1:15" x14ac:dyDescent="0.25">
      <c r="C166" s="79"/>
      <c r="D166" s="59"/>
      <c r="E166" s="59"/>
      <c r="F166" s="81" t="s">
        <v>152</v>
      </c>
      <c r="G166" s="81" t="s">
        <v>153</v>
      </c>
      <c r="H166" s="213"/>
      <c r="I166" s="79"/>
      <c r="J166" s="168" t="s">
        <v>289</v>
      </c>
      <c r="K166" s="168" t="s">
        <v>290</v>
      </c>
      <c r="L166" s="168" t="s">
        <v>291</v>
      </c>
      <c r="N166" s="168" t="s">
        <v>464</v>
      </c>
      <c r="O166" s="168" t="s">
        <v>155</v>
      </c>
    </row>
    <row r="167" spans="1:15" x14ac:dyDescent="0.25">
      <c r="C167" s="79"/>
      <c r="D167" s="59"/>
      <c r="E167" s="63" t="s">
        <v>156</v>
      </c>
      <c r="F167" s="82">
        <f>D47</f>
        <v>1918.9224999999999</v>
      </c>
      <c r="G167" s="82">
        <v>0</v>
      </c>
      <c r="H167" s="82">
        <f>F47</f>
        <v>-100.47399999999993</v>
      </c>
      <c r="I167" s="80"/>
      <c r="J167" s="66">
        <v>1</v>
      </c>
      <c r="K167" s="66">
        <v>1</v>
      </c>
      <c r="L167" s="66">
        <v>1</v>
      </c>
      <c r="N167" s="66">
        <v>1.35</v>
      </c>
      <c r="O167" s="66">
        <v>1.35</v>
      </c>
    </row>
    <row r="168" spans="1:15" x14ac:dyDescent="0.25">
      <c r="C168" s="79"/>
      <c r="D168" s="59"/>
      <c r="E168" s="63" t="s">
        <v>157</v>
      </c>
      <c r="F168" s="82">
        <f>D54</f>
        <v>2253.4265</v>
      </c>
      <c r="G168" s="82"/>
      <c r="H168" s="82">
        <f>F54</f>
        <v>0</v>
      </c>
      <c r="I168" s="80"/>
      <c r="J168" s="66">
        <v>1</v>
      </c>
      <c r="K168" s="66">
        <v>1</v>
      </c>
      <c r="L168" s="66">
        <v>1</v>
      </c>
      <c r="N168" s="66">
        <v>1.35</v>
      </c>
      <c r="O168" s="66">
        <v>1.35</v>
      </c>
    </row>
    <row r="169" spans="1:15" x14ac:dyDescent="0.25">
      <c r="C169" s="79"/>
      <c r="D169" s="59"/>
      <c r="E169" s="63" t="s">
        <v>158</v>
      </c>
      <c r="F169" s="82">
        <f>D55</f>
        <v>247.5</v>
      </c>
      <c r="G169" s="82"/>
      <c r="H169" s="82">
        <f>F55</f>
        <v>0</v>
      </c>
      <c r="I169" s="80"/>
      <c r="J169" s="66">
        <v>1</v>
      </c>
      <c r="K169" s="66">
        <v>1</v>
      </c>
      <c r="L169" s="66">
        <v>1</v>
      </c>
      <c r="N169" s="66">
        <v>1.75</v>
      </c>
      <c r="O169" s="66">
        <v>1.75</v>
      </c>
    </row>
    <row r="170" spans="1:15" x14ac:dyDescent="0.25">
      <c r="C170" s="79"/>
      <c r="D170" s="59"/>
      <c r="E170" s="63" t="s">
        <v>159</v>
      </c>
      <c r="F170" s="82">
        <f>D56</f>
        <v>892.58199999999999</v>
      </c>
      <c r="G170" s="82"/>
      <c r="H170" s="82">
        <f>F56</f>
        <v>0</v>
      </c>
      <c r="I170" s="80"/>
      <c r="J170" s="66">
        <v>1</v>
      </c>
      <c r="K170" s="66">
        <v>1</v>
      </c>
      <c r="L170" s="66">
        <v>0</v>
      </c>
      <c r="N170" s="66">
        <v>1.5</v>
      </c>
      <c r="O170" s="66">
        <v>0</v>
      </c>
    </row>
    <row r="171" spans="1:15" x14ac:dyDescent="0.25">
      <c r="C171" s="79"/>
      <c r="D171" s="59"/>
      <c r="E171" s="63" t="s">
        <v>160</v>
      </c>
      <c r="F171" s="82"/>
      <c r="G171" s="82">
        <f>D69</f>
        <v>1284.4613474742855</v>
      </c>
      <c r="H171" s="82">
        <f>F69</f>
        <v>6190.8468025565608</v>
      </c>
      <c r="I171" s="80"/>
      <c r="J171" s="66">
        <v>1</v>
      </c>
      <c r="K171" s="66">
        <v>1</v>
      </c>
      <c r="L171" s="66">
        <v>1</v>
      </c>
      <c r="N171" s="66">
        <v>1.5</v>
      </c>
      <c r="O171" s="66">
        <v>1</v>
      </c>
    </row>
    <row r="172" spans="1:15" x14ac:dyDescent="0.25">
      <c r="C172" s="79"/>
      <c r="D172" s="59"/>
      <c r="E172" s="63" t="s">
        <v>161</v>
      </c>
      <c r="F172" s="82">
        <f>D70</f>
        <v>532.04131046786961</v>
      </c>
      <c r="G172" s="82"/>
      <c r="H172" s="82">
        <f>F70</f>
        <v>-319.22478628072173</v>
      </c>
      <c r="I172" s="80"/>
      <c r="J172" s="66">
        <v>1</v>
      </c>
      <c r="K172" s="66">
        <v>1</v>
      </c>
      <c r="L172" s="66">
        <v>1</v>
      </c>
      <c r="N172" s="66">
        <v>1</v>
      </c>
      <c r="O172" s="66">
        <v>1</v>
      </c>
    </row>
    <row r="173" spans="1:15" x14ac:dyDescent="0.25">
      <c r="C173" s="79"/>
      <c r="D173" s="59"/>
      <c r="E173" s="63" t="s">
        <v>162</v>
      </c>
      <c r="F173" s="82"/>
      <c r="G173" s="82">
        <f>D113</f>
        <v>464.07486311540191</v>
      </c>
      <c r="H173" s="82">
        <f>F113</f>
        <v>2573.2951159749036</v>
      </c>
      <c r="I173" s="80"/>
      <c r="J173" s="66">
        <v>1</v>
      </c>
      <c r="K173" s="66">
        <v>1</v>
      </c>
      <c r="L173" s="66">
        <v>0</v>
      </c>
      <c r="N173" s="66">
        <v>1.2</v>
      </c>
      <c r="O173" s="66">
        <v>0</v>
      </c>
    </row>
    <row r="174" spans="1:15" x14ac:dyDescent="0.25">
      <c r="C174" s="79"/>
      <c r="D174" s="59"/>
      <c r="E174" s="63"/>
      <c r="F174" s="82"/>
      <c r="G174" s="82"/>
      <c r="H174" s="82"/>
      <c r="I174" s="80"/>
      <c r="J174" s="66"/>
      <c r="K174" s="66"/>
      <c r="L174" s="66"/>
      <c r="N174" s="66"/>
      <c r="O174" s="66"/>
    </row>
    <row r="175" spans="1:15" x14ac:dyDescent="0.25">
      <c r="C175" s="79"/>
      <c r="D175" s="63" t="s">
        <v>163</v>
      </c>
      <c r="E175" s="63" t="s">
        <v>401</v>
      </c>
      <c r="F175" s="82"/>
      <c r="G175" s="82">
        <f>D79</f>
        <v>200</v>
      </c>
      <c r="H175" s="82">
        <f>H79</f>
        <v>1398</v>
      </c>
      <c r="I175" s="80"/>
      <c r="J175" s="66">
        <v>1</v>
      </c>
      <c r="K175" s="66">
        <v>1</v>
      </c>
      <c r="L175" s="66">
        <v>0</v>
      </c>
      <c r="N175" s="66">
        <v>1.5</v>
      </c>
      <c r="O175" s="66">
        <v>0</v>
      </c>
    </row>
    <row r="176" spans="1:15" x14ac:dyDescent="0.25">
      <c r="C176" s="79"/>
      <c r="D176" s="59"/>
      <c r="E176" s="63" t="s">
        <v>402</v>
      </c>
      <c r="F176" s="82">
        <f>D82</f>
        <v>8</v>
      </c>
      <c r="G176" s="82"/>
      <c r="H176" s="82">
        <f>H82</f>
        <v>0</v>
      </c>
      <c r="I176" s="80"/>
      <c r="J176" s="66">
        <v>1</v>
      </c>
      <c r="K176" s="66">
        <v>1</v>
      </c>
      <c r="L176" s="66">
        <v>0</v>
      </c>
      <c r="N176" s="66">
        <v>1.5</v>
      </c>
      <c r="O176" s="66">
        <v>0</v>
      </c>
    </row>
    <row r="177" spans="2:21" x14ac:dyDescent="0.25">
      <c r="C177" s="79"/>
      <c r="D177" s="59"/>
      <c r="E177" s="63" t="s">
        <v>164</v>
      </c>
      <c r="F177" s="82"/>
      <c r="G177" s="82">
        <f>D103</f>
        <v>79.857421874999986</v>
      </c>
      <c r="H177" s="82">
        <f>H103</f>
        <v>552.21407226562485</v>
      </c>
      <c r="I177" s="80"/>
      <c r="J177" s="66">
        <v>0</v>
      </c>
      <c r="K177" s="66">
        <v>0</v>
      </c>
      <c r="L177" s="66">
        <v>0</v>
      </c>
      <c r="N177" s="66">
        <v>0.9</v>
      </c>
      <c r="O177" s="66">
        <v>0.5</v>
      </c>
    </row>
    <row r="178" spans="2:21" x14ac:dyDescent="0.25">
      <c r="C178" s="79"/>
      <c r="D178" s="59"/>
      <c r="E178" s="59"/>
      <c r="F178" s="214" t="s">
        <v>165</v>
      </c>
      <c r="G178" s="214"/>
      <c r="H178" s="214"/>
      <c r="I178" s="80"/>
      <c r="J178" s="66"/>
      <c r="K178" s="66"/>
      <c r="L178" s="66"/>
      <c r="N178" s="66"/>
      <c r="O178" s="66"/>
    </row>
    <row r="179" spans="2:21" x14ac:dyDescent="0.25">
      <c r="C179" s="79"/>
      <c r="D179" s="59"/>
      <c r="E179" s="63" t="s">
        <v>166</v>
      </c>
      <c r="F179" s="82"/>
      <c r="G179" s="82">
        <f>F135</f>
        <v>375.13897500000002</v>
      </c>
      <c r="H179" s="82">
        <f>H135</f>
        <v>3169.2991071250003</v>
      </c>
      <c r="I179" s="80"/>
      <c r="J179" s="66">
        <v>0</v>
      </c>
      <c r="K179" s="66">
        <v>1</v>
      </c>
      <c r="L179" s="66">
        <v>1</v>
      </c>
      <c r="N179" s="66">
        <v>0</v>
      </c>
      <c r="O179" s="66">
        <v>1.5</v>
      </c>
    </row>
    <row r="180" spans="2:21" x14ac:dyDescent="0.25">
      <c r="C180" s="79"/>
      <c r="D180" s="59"/>
      <c r="E180" s="63" t="s">
        <v>167</v>
      </c>
      <c r="F180" s="82"/>
      <c r="G180" s="82">
        <f>F132</f>
        <v>287.83837499999998</v>
      </c>
      <c r="H180" s="82">
        <f>I142</f>
        <v>0</v>
      </c>
      <c r="I180" s="80"/>
      <c r="J180" s="66">
        <v>0</v>
      </c>
      <c r="K180" s="66">
        <v>1</v>
      </c>
      <c r="L180" s="66">
        <v>1</v>
      </c>
      <c r="N180" s="66">
        <v>0</v>
      </c>
      <c r="O180" s="66">
        <v>1.5</v>
      </c>
    </row>
    <row r="181" spans="2:21" x14ac:dyDescent="0.25">
      <c r="C181" s="79"/>
      <c r="D181" s="59"/>
      <c r="E181" s="63" t="s">
        <v>168</v>
      </c>
      <c r="F181" s="82"/>
      <c r="G181" s="82">
        <f>E151</f>
        <v>832.52196168143939</v>
      </c>
      <c r="H181" s="82">
        <f>I151</f>
        <v>4491.4559832713658</v>
      </c>
      <c r="I181" s="80"/>
      <c r="J181" s="66">
        <v>0</v>
      </c>
      <c r="K181" s="66">
        <v>1</v>
      </c>
      <c r="L181" s="66">
        <v>1</v>
      </c>
      <c r="N181" s="66">
        <v>0</v>
      </c>
      <c r="O181" s="66">
        <v>1.5</v>
      </c>
    </row>
    <row r="182" spans="2:21" x14ac:dyDescent="0.25">
      <c r="C182" s="79"/>
      <c r="D182" s="59"/>
      <c r="E182" s="63" t="s">
        <v>169</v>
      </c>
      <c r="F182" s="82"/>
      <c r="G182" s="82">
        <f>E156</f>
        <v>277.89328345416612</v>
      </c>
      <c r="H182" s="82">
        <f>I156</f>
        <v>1540.9182567533512</v>
      </c>
      <c r="I182" s="80"/>
      <c r="J182" s="66">
        <v>0</v>
      </c>
      <c r="K182" s="66">
        <v>1</v>
      </c>
      <c r="L182" s="66">
        <v>0</v>
      </c>
      <c r="N182" s="66">
        <v>0</v>
      </c>
      <c r="O182" s="66">
        <v>1.5</v>
      </c>
    </row>
    <row r="183" spans="2:21" x14ac:dyDescent="0.25">
      <c r="C183" s="79"/>
    </row>
    <row r="184" spans="2:21" x14ac:dyDescent="0.25">
      <c r="C184" s="79"/>
    </row>
    <row r="185" spans="2:21" x14ac:dyDescent="0.25">
      <c r="C185" s="79"/>
    </row>
    <row r="186" spans="2:21" x14ac:dyDescent="0.25">
      <c r="C186" s="217" t="s">
        <v>289</v>
      </c>
      <c r="D186" s="217"/>
      <c r="E186" s="217"/>
      <c r="F186" s="217"/>
      <c r="J186" s="217" t="s">
        <v>290</v>
      </c>
      <c r="K186" s="217"/>
      <c r="L186" s="217"/>
      <c r="M186" s="217"/>
      <c r="Q186" s="217" t="s">
        <v>291</v>
      </c>
      <c r="R186" s="217"/>
      <c r="S186" s="217"/>
      <c r="T186" s="217"/>
      <c r="U186" s="52"/>
    </row>
    <row r="187" spans="2:21" ht="27.6" x14ac:dyDescent="0.25">
      <c r="B187" s="59"/>
      <c r="C187" s="59"/>
      <c r="D187" s="215" t="s">
        <v>149</v>
      </c>
      <c r="E187" s="215"/>
      <c r="F187" s="213" t="s">
        <v>150</v>
      </c>
      <c r="I187" s="59"/>
      <c r="J187" s="59"/>
      <c r="K187" s="215" t="s">
        <v>149</v>
      </c>
      <c r="L187" s="215"/>
      <c r="M187" s="213" t="s">
        <v>150</v>
      </c>
      <c r="Q187" s="59"/>
      <c r="R187" s="256" t="s">
        <v>149</v>
      </c>
      <c r="S187" s="257"/>
      <c r="T187" s="131" t="s">
        <v>150</v>
      </c>
    </row>
    <row r="188" spans="2:21" ht="13.8" customHeight="1" x14ac:dyDescent="0.25">
      <c r="B188" s="59"/>
      <c r="C188" s="59"/>
      <c r="D188" s="81" t="s">
        <v>152</v>
      </c>
      <c r="E188" s="81" t="s">
        <v>153</v>
      </c>
      <c r="F188" s="213"/>
      <c r="I188" s="59"/>
      <c r="J188" s="59"/>
      <c r="K188" s="81" t="s">
        <v>152</v>
      </c>
      <c r="L188" s="81" t="s">
        <v>153</v>
      </c>
      <c r="M188" s="213"/>
      <c r="P188" s="59"/>
      <c r="Q188" s="59"/>
      <c r="R188" s="81" t="s">
        <v>152</v>
      </c>
      <c r="S188" s="81" t="s">
        <v>153</v>
      </c>
      <c r="T188" s="131"/>
    </row>
    <row r="189" spans="2:21" x14ac:dyDescent="0.25">
      <c r="B189" s="59"/>
      <c r="C189" s="63" t="s">
        <v>156</v>
      </c>
      <c r="D189" s="82">
        <f>F167*J167</f>
        <v>1918.9224999999999</v>
      </c>
      <c r="E189" s="82">
        <f>G167*J167</f>
        <v>0</v>
      </c>
      <c r="F189" s="82">
        <f>H167*J167</f>
        <v>-100.47399999999993</v>
      </c>
      <c r="I189" s="59"/>
      <c r="J189" s="63" t="s">
        <v>156</v>
      </c>
      <c r="K189" s="82">
        <f>F167*K167</f>
        <v>1918.9224999999999</v>
      </c>
      <c r="L189" s="82">
        <f>G167*K167</f>
        <v>0</v>
      </c>
      <c r="M189" s="82">
        <f>H167*K167</f>
        <v>-100.47399999999993</v>
      </c>
      <c r="P189" s="59"/>
      <c r="Q189" s="63" t="s">
        <v>156</v>
      </c>
      <c r="R189" s="82">
        <f>F167*L167</f>
        <v>1918.9224999999999</v>
      </c>
      <c r="S189" s="82">
        <f>G167*L167</f>
        <v>0</v>
      </c>
      <c r="T189" s="82">
        <f>H167*L167</f>
        <v>-100.47399999999993</v>
      </c>
    </row>
    <row r="190" spans="2:21" x14ac:dyDescent="0.25">
      <c r="B190" s="59"/>
      <c r="C190" s="63" t="s">
        <v>157</v>
      </c>
      <c r="D190" s="82">
        <f t="shared" ref="D190:D199" si="2">F168*J168</f>
        <v>2253.4265</v>
      </c>
      <c r="E190" s="82">
        <f t="shared" ref="E190:E199" si="3">G168*J168</f>
        <v>0</v>
      </c>
      <c r="F190" s="82">
        <f t="shared" ref="F190:F199" si="4">H168*J168</f>
        <v>0</v>
      </c>
      <c r="I190" s="59"/>
      <c r="J190" s="63" t="s">
        <v>157</v>
      </c>
      <c r="K190" s="82">
        <f t="shared" ref="K190:K199" si="5">F168*K168</f>
        <v>2253.4265</v>
      </c>
      <c r="L190" s="82">
        <f t="shared" ref="L190:L199" si="6">G168*K168</f>
        <v>0</v>
      </c>
      <c r="M190" s="82">
        <f t="shared" ref="M190:M199" si="7">H168*K168</f>
        <v>0</v>
      </c>
      <c r="P190" s="59"/>
      <c r="Q190" s="63" t="s">
        <v>157</v>
      </c>
      <c r="R190" s="82">
        <f t="shared" ref="R190:R199" si="8">F168*L168</f>
        <v>2253.4265</v>
      </c>
      <c r="S190" s="82">
        <f t="shared" ref="S190:S199" si="9">G168*L168</f>
        <v>0</v>
      </c>
      <c r="T190" s="82">
        <f t="shared" ref="T190:T199" si="10">H168*L168</f>
        <v>0</v>
      </c>
    </row>
    <row r="191" spans="2:21" x14ac:dyDescent="0.25">
      <c r="B191" s="59"/>
      <c r="C191" s="63" t="s">
        <v>158</v>
      </c>
      <c r="D191" s="82">
        <f t="shared" si="2"/>
        <v>247.5</v>
      </c>
      <c r="E191" s="82">
        <f t="shared" si="3"/>
        <v>0</v>
      </c>
      <c r="F191" s="82">
        <f t="shared" si="4"/>
        <v>0</v>
      </c>
      <c r="I191" s="59"/>
      <c r="J191" s="63" t="s">
        <v>158</v>
      </c>
      <c r="K191" s="82">
        <f t="shared" si="5"/>
        <v>247.5</v>
      </c>
      <c r="L191" s="82">
        <f t="shared" si="6"/>
        <v>0</v>
      </c>
      <c r="M191" s="82">
        <f t="shared" si="7"/>
        <v>0</v>
      </c>
      <c r="P191" s="59"/>
      <c r="Q191" s="63" t="s">
        <v>158</v>
      </c>
      <c r="R191" s="82">
        <f t="shared" si="8"/>
        <v>247.5</v>
      </c>
      <c r="S191" s="82">
        <f t="shared" si="9"/>
        <v>0</v>
      </c>
      <c r="T191" s="82">
        <f t="shared" si="10"/>
        <v>0</v>
      </c>
    </row>
    <row r="192" spans="2:21" x14ac:dyDescent="0.25">
      <c r="B192" s="59"/>
      <c r="C192" s="63" t="s">
        <v>159</v>
      </c>
      <c r="D192" s="82">
        <f t="shared" si="2"/>
        <v>892.58199999999999</v>
      </c>
      <c r="E192" s="82">
        <f t="shared" si="3"/>
        <v>0</v>
      </c>
      <c r="F192" s="82">
        <f t="shared" si="4"/>
        <v>0</v>
      </c>
      <c r="I192" s="59"/>
      <c r="J192" s="63" t="s">
        <v>159</v>
      </c>
      <c r="K192" s="82">
        <f t="shared" si="5"/>
        <v>892.58199999999999</v>
      </c>
      <c r="L192" s="82">
        <f t="shared" si="6"/>
        <v>0</v>
      </c>
      <c r="M192" s="82">
        <f t="shared" si="7"/>
        <v>0</v>
      </c>
      <c r="P192" s="59"/>
      <c r="Q192" s="63" t="s">
        <v>159</v>
      </c>
      <c r="R192" s="82">
        <f t="shared" si="8"/>
        <v>0</v>
      </c>
      <c r="S192" s="82">
        <f t="shared" si="9"/>
        <v>0</v>
      </c>
      <c r="T192" s="82">
        <f t="shared" si="10"/>
        <v>0</v>
      </c>
    </row>
    <row r="193" spans="2:20" x14ac:dyDescent="0.25">
      <c r="B193" s="59"/>
      <c r="C193" s="63" t="s">
        <v>160</v>
      </c>
      <c r="D193" s="82">
        <f t="shared" si="2"/>
        <v>0</v>
      </c>
      <c r="E193" s="82">
        <f t="shared" si="3"/>
        <v>1284.4613474742855</v>
      </c>
      <c r="F193" s="82">
        <f t="shared" si="4"/>
        <v>6190.8468025565608</v>
      </c>
      <c r="I193" s="59"/>
      <c r="J193" s="63" t="s">
        <v>160</v>
      </c>
      <c r="K193" s="82">
        <f t="shared" si="5"/>
        <v>0</v>
      </c>
      <c r="L193" s="82">
        <f t="shared" si="6"/>
        <v>1284.4613474742855</v>
      </c>
      <c r="M193" s="82">
        <f t="shared" si="7"/>
        <v>6190.8468025565608</v>
      </c>
      <c r="P193" s="59"/>
      <c r="Q193" s="63" t="s">
        <v>160</v>
      </c>
      <c r="R193" s="82">
        <f t="shared" si="8"/>
        <v>0</v>
      </c>
      <c r="S193" s="82">
        <f t="shared" si="9"/>
        <v>1284.4613474742855</v>
      </c>
      <c r="T193" s="82">
        <f t="shared" si="10"/>
        <v>6190.8468025565608</v>
      </c>
    </row>
    <row r="194" spans="2:20" x14ac:dyDescent="0.25">
      <c r="B194" s="59"/>
      <c r="C194" s="63" t="s">
        <v>161</v>
      </c>
      <c r="D194" s="82">
        <f t="shared" si="2"/>
        <v>532.04131046786961</v>
      </c>
      <c r="E194" s="82">
        <f t="shared" si="3"/>
        <v>0</v>
      </c>
      <c r="F194" s="82">
        <f t="shared" si="4"/>
        <v>-319.22478628072173</v>
      </c>
      <c r="I194" s="59"/>
      <c r="J194" s="63" t="s">
        <v>161</v>
      </c>
      <c r="K194" s="82">
        <f t="shared" si="5"/>
        <v>532.04131046786961</v>
      </c>
      <c r="L194" s="82">
        <f t="shared" si="6"/>
        <v>0</v>
      </c>
      <c r="M194" s="82">
        <f t="shared" si="7"/>
        <v>-319.22478628072173</v>
      </c>
      <c r="P194" s="59"/>
      <c r="Q194" s="63" t="s">
        <v>161</v>
      </c>
      <c r="R194" s="82">
        <f t="shared" si="8"/>
        <v>532.04131046786961</v>
      </c>
      <c r="S194" s="82">
        <f t="shared" si="9"/>
        <v>0</v>
      </c>
      <c r="T194" s="82">
        <f t="shared" si="10"/>
        <v>-319.22478628072173</v>
      </c>
    </row>
    <row r="195" spans="2:20" x14ac:dyDescent="0.25">
      <c r="B195" s="59"/>
      <c r="C195" s="63" t="s">
        <v>162</v>
      </c>
      <c r="D195" s="82">
        <f t="shared" si="2"/>
        <v>0</v>
      </c>
      <c r="E195" s="82">
        <f t="shared" si="3"/>
        <v>464.07486311540191</v>
      </c>
      <c r="F195" s="82">
        <f t="shared" si="4"/>
        <v>2573.2951159749036</v>
      </c>
      <c r="I195" s="59"/>
      <c r="J195" s="63" t="s">
        <v>162</v>
      </c>
      <c r="K195" s="82">
        <f t="shared" si="5"/>
        <v>0</v>
      </c>
      <c r="L195" s="82">
        <f t="shared" si="6"/>
        <v>464.07486311540191</v>
      </c>
      <c r="M195" s="82">
        <f t="shared" si="7"/>
        <v>2573.2951159749036</v>
      </c>
      <c r="P195" s="59"/>
      <c r="Q195" s="63" t="s">
        <v>162</v>
      </c>
      <c r="R195" s="82">
        <f t="shared" si="8"/>
        <v>0</v>
      </c>
      <c r="S195" s="82">
        <f t="shared" si="9"/>
        <v>0</v>
      </c>
      <c r="T195" s="82">
        <f t="shared" si="10"/>
        <v>0</v>
      </c>
    </row>
    <row r="196" spans="2:20" x14ac:dyDescent="0.25">
      <c r="B196" s="59"/>
      <c r="C196" s="63"/>
      <c r="D196" s="82">
        <f t="shared" si="2"/>
        <v>0</v>
      </c>
      <c r="E196" s="82">
        <f t="shared" si="3"/>
        <v>0</v>
      </c>
      <c r="F196" s="82">
        <f t="shared" si="4"/>
        <v>0</v>
      </c>
      <c r="I196" s="59"/>
      <c r="J196" s="63"/>
      <c r="K196" s="82">
        <f t="shared" si="5"/>
        <v>0</v>
      </c>
      <c r="L196" s="82">
        <f t="shared" si="6"/>
        <v>0</v>
      </c>
      <c r="M196" s="82">
        <f t="shared" si="7"/>
        <v>0</v>
      </c>
      <c r="P196" s="59"/>
      <c r="Q196" s="63"/>
      <c r="R196" s="82">
        <f t="shared" si="8"/>
        <v>0</v>
      </c>
      <c r="S196" s="82">
        <f t="shared" si="9"/>
        <v>0</v>
      </c>
      <c r="T196" s="82">
        <f t="shared" si="10"/>
        <v>0</v>
      </c>
    </row>
    <row r="197" spans="2:20" x14ac:dyDescent="0.25">
      <c r="B197" s="63" t="s">
        <v>163</v>
      </c>
      <c r="C197" s="63" t="s">
        <v>401</v>
      </c>
      <c r="D197" s="82">
        <f t="shared" si="2"/>
        <v>0</v>
      </c>
      <c r="E197" s="82">
        <f t="shared" si="3"/>
        <v>200</v>
      </c>
      <c r="F197" s="82">
        <f t="shared" si="4"/>
        <v>1398</v>
      </c>
      <c r="I197" s="63" t="s">
        <v>163</v>
      </c>
      <c r="J197" s="63" t="s">
        <v>401</v>
      </c>
      <c r="K197" s="82">
        <f t="shared" si="5"/>
        <v>0</v>
      </c>
      <c r="L197" s="82">
        <f t="shared" si="6"/>
        <v>200</v>
      </c>
      <c r="M197" s="82">
        <f t="shared" si="7"/>
        <v>1398</v>
      </c>
      <c r="P197" s="59"/>
      <c r="Q197" s="63" t="s">
        <v>401</v>
      </c>
      <c r="R197" s="82">
        <f t="shared" si="8"/>
        <v>0</v>
      </c>
      <c r="S197" s="82">
        <f t="shared" si="9"/>
        <v>0</v>
      </c>
      <c r="T197" s="82">
        <f t="shared" si="10"/>
        <v>0</v>
      </c>
    </row>
    <row r="198" spans="2:20" x14ac:dyDescent="0.25">
      <c r="B198" s="59"/>
      <c r="C198" s="63" t="s">
        <v>402</v>
      </c>
      <c r="D198" s="82">
        <f t="shared" si="2"/>
        <v>8</v>
      </c>
      <c r="E198" s="82">
        <f t="shared" si="3"/>
        <v>0</v>
      </c>
      <c r="F198" s="82">
        <f t="shared" si="4"/>
        <v>0</v>
      </c>
      <c r="I198" s="59"/>
      <c r="J198" s="63" t="s">
        <v>402</v>
      </c>
      <c r="K198" s="82">
        <f t="shared" si="5"/>
        <v>8</v>
      </c>
      <c r="L198" s="82">
        <f t="shared" si="6"/>
        <v>0</v>
      </c>
      <c r="M198" s="82">
        <f t="shared" si="7"/>
        <v>0</v>
      </c>
      <c r="P198" s="63" t="s">
        <v>163</v>
      </c>
      <c r="Q198" s="63" t="s">
        <v>402</v>
      </c>
      <c r="R198" s="82">
        <f t="shared" si="8"/>
        <v>0</v>
      </c>
      <c r="S198" s="82">
        <f t="shared" si="9"/>
        <v>0</v>
      </c>
      <c r="T198" s="82">
        <f t="shared" si="10"/>
        <v>0</v>
      </c>
    </row>
    <row r="199" spans="2:20" x14ac:dyDescent="0.25">
      <c r="B199" s="59"/>
      <c r="C199" s="63" t="s">
        <v>164</v>
      </c>
      <c r="D199" s="82">
        <f t="shared" si="2"/>
        <v>0</v>
      </c>
      <c r="E199" s="82">
        <f t="shared" si="3"/>
        <v>0</v>
      </c>
      <c r="F199" s="82">
        <f t="shared" si="4"/>
        <v>0</v>
      </c>
      <c r="I199" s="59"/>
      <c r="J199" s="63" t="s">
        <v>164</v>
      </c>
      <c r="K199" s="82">
        <f t="shared" si="5"/>
        <v>0</v>
      </c>
      <c r="L199" s="82">
        <f t="shared" si="6"/>
        <v>0</v>
      </c>
      <c r="M199" s="82">
        <f t="shared" si="7"/>
        <v>0</v>
      </c>
      <c r="P199" s="59"/>
      <c r="Q199" s="63" t="s">
        <v>164</v>
      </c>
      <c r="R199" s="82">
        <f t="shared" si="8"/>
        <v>0</v>
      </c>
      <c r="S199" s="82">
        <f t="shared" si="9"/>
        <v>0</v>
      </c>
      <c r="T199" s="82">
        <f t="shared" si="10"/>
        <v>0</v>
      </c>
    </row>
    <row r="200" spans="2:20" x14ac:dyDescent="0.25">
      <c r="B200" s="59"/>
      <c r="C200" s="59"/>
      <c r="D200" s="214" t="s">
        <v>165</v>
      </c>
      <c r="E200" s="214"/>
      <c r="F200" s="214"/>
      <c r="I200" s="59"/>
      <c r="J200" s="59"/>
      <c r="K200" s="214" t="s">
        <v>165</v>
      </c>
      <c r="L200" s="214"/>
      <c r="M200" s="214"/>
      <c r="P200" s="59"/>
      <c r="Q200" s="59"/>
      <c r="R200" s="259" t="s">
        <v>165</v>
      </c>
      <c r="S200" s="259"/>
      <c r="T200" s="259"/>
    </row>
    <row r="201" spans="2:20" x14ac:dyDescent="0.25">
      <c r="B201" s="59"/>
      <c r="C201" s="63" t="s">
        <v>166</v>
      </c>
      <c r="D201" s="82">
        <f>F179*J179</f>
        <v>0</v>
      </c>
      <c r="E201" s="82">
        <f>D157</f>
        <v>0</v>
      </c>
      <c r="F201" s="82">
        <f>H179*J179</f>
        <v>0</v>
      </c>
      <c r="I201" s="59"/>
      <c r="J201" s="63" t="s">
        <v>166</v>
      </c>
      <c r="K201" s="82">
        <f>F179*J179</f>
        <v>0</v>
      </c>
      <c r="L201" s="82">
        <f>G179*K179</f>
        <v>375.13897500000002</v>
      </c>
      <c r="M201" s="82">
        <f>H179*K179</f>
        <v>3169.2991071250003</v>
      </c>
      <c r="P201" s="59"/>
      <c r="Q201" s="63" t="s">
        <v>166</v>
      </c>
      <c r="R201" s="82">
        <f>F179*L179</f>
        <v>0</v>
      </c>
      <c r="S201" s="82">
        <f>G179*L179</f>
        <v>375.13897500000002</v>
      </c>
      <c r="T201" s="82">
        <f>H179*L179</f>
        <v>3169.2991071250003</v>
      </c>
    </row>
    <row r="202" spans="2:20" x14ac:dyDescent="0.25">
      <c r="B202" s="59"/>
      <c r="C202" s="63" t="s">
        <v>167</v>
      </c>
      <c r="D202" s="82">
        <f t="shared" ref="D202:D204" si="11">F180*J180</f>
        <v>0</v>
      </c>
      <c r="E202" s="82">
        <f>D154</f>
        <v>0</v>
      </c>
      <c r="F202" s="82">
        <f t="shared" ref="F202:F204" si="12">H180*J180</f>
        <v>0</v>
      </c>
      <c r="I202" s="59"/>
      <c r="J202" s="63" t="s">
        <v>167</v>
      </c>
      <c r="K202" s="82">
        <f t="shared" ref="K202:K204" si="13">F180*J180</f>
        <v>0</v>
      </c>
      <c r="L202" s="82">
        <f t="shared" ref="L202:L204" si="14">G180*K180</f>
        <v>287.83837499999998</v>
      </c>
      <c r="M202" s="82">
        <f t="shared" ref="M202:M204" si="15">H180*K180</f>
        <v>0</v>
      </c>
      <c r="P202" s="59"/>
      <c r="Q202" s="63" t="s">
        <v>167</v>
      </c>
      <c r="R202" s="82">
        <f t="shared" ref="R202:R204" si="16">F180*L180</f>
        <v>0</v>
      </c>
      <c r="S202" s="82">
        <f t="shared" ref="S202:S204" si="17">G180*L180</f>
        <v>287.83837499999998</v>
      </c>
      <c r="T202" s="82">
        <f t="shared" ref="T202:T204" si="18">H180*L180</f>
        <v>0</v>
      </c>
    </row>
    <row r="203" spans="2:20" x14ac:dyDescent="0.25">
      <c r="B203" s="59"/>
      <c r="C203" s="63" t="s">
        <v>168</v>
      </c>
      <c r="D203" s="82">
        <f t="shared" si="11"/>
        <v>0</v>
      </c>
      <c r="E203" s="82">
        <f>C173</f>
        <v>0</v>
      </c>
      <c r="F203" s="82">
        <f t="shared" si="12"/>
        <v>0</v>
      </c>
      <c r="I203" s="59"/>
      <c r="J203" s="63" t="s">
        <v>168</v>
      </c>
      <c r="K203" s="82">
        <f t="shared" si="13"/>
        <v>0</v>
      </c>
      <c r="L203" s="82">
        <f t="shared" si="14"/>
        <v>832.52196168143939</v>
      </c>
      <c r="M203" s="82">
        <f t="shared" si="15"/>
        <v>4491.4559832713658</v>
      </c>
      <c r="P203" s="59"/>
      <c r="Q203" s="63" t="s">
        <v>168</v>
      </c>
      <c r="R203" s="82">
        <f t="shared" si="16"/>
        <v>0</v>
      </c>
      <c r="S203" s="82">
        <f t="shared" si="17"/>
        <v>832.52196168143939</v>
      </c>
      <c r="T203" s="82">
        <f t="shared" si="18"/>
        <v>4491.4559832713658</v>
      </c>
    </row>
    <row r="204" spans="2:20" x14ac:dyDescent="0.25">
      <c r="B204" s="59"/>
      <c r="C204" s="63" t="s">
        <v>169</v>
      </c>
      <c r="D204" s="82">
        <f t="shared" si="11"/>
        <v>0</v>
      </c>
      <c r="E204" s="82">
        <f>C178</f>
        <v>0</v>
      </c>
      <c r="F204" s="82">
        <f t="shared" si="12"/>
        <v>0</v>
      </c>
      <c r="I204" s="59"/>
      <c r="J204" s="63" t="s">
        <v>169</v>
      </c>
      <c r="K204" s="82">
        <f t="shared" si="13"/>
        <v>0</v>
      </c>
      <c r="L204" s="82">
        <f t="shared" si="14"/>
        <v>277.89328345416612</v>
      </c>
      <c r="M204" s="82">
        <f t="shared" si="15"/>
        <v>1540.9182567533512</v>
      </c>
      <c r="P204" s="59"/>
      <c r="Q204" s="63" t="s">
        <v>169</v>
      </c>
      <c r="R204" s="82">
        <f t="shared" si="16"/>
        <v>0</v>
      </c>
      <c r="S204" s="82">
        <f t="shared" si="17"/>
        <v>0</v>
      </c>
      <c r="T204" s="82">
        <f t="shared" si="18"/>
        <v>0</v>
      </c>
    </row>
    <row r="205" spans="2:20" x14ac:dyDescent="0.25">
      <c r="E205" s="83"/>
      <c r="L205" s="83"/>
      <c r="P205" s="59"/>
      <c r="S205" s="83"/>
    </row>
    <row r="206" spans="2:20" x14ac:dyDescent="0.25">
      <c r="D206" s="133">
        <f>SUM(D189:D199)+SUM(D201:D204)</f>
        <v>5852.4723104678706</v>
      </c>
      <c r="E206" s="134">
        <f>SUM(E189:E199)+SUM(E201:E204)</f>
        <v>1948.5362105896875</v>
      </c>
      <c r="F206" s="133">
        <f>SUM(F189:F199)+SUM(F201:F204)</f>
        <v>9742.4431322507426</v>
      </c>
      <c r="K206" s="133">
        <f>SUM(K189:K199)+SUM(K201:K204)</f>
        <v>5852.4723104678706</v>
      </c>
      <c r="L206" s="134">
        <f>SUM(L189:L199)+SUM(L201:L204)</f>
        <v>3721.9288057252929</v>
      </c>
      <c r="M206" s="133">
        <f>SUM(M189:M199)+SUM(M201:M204)</f>
        <v>18944.116479400458</v>
      </c>
      <c r="R206" s="133">
        <f>SUM(R189:R199)+SUM(R201:R204)</f>
        <v>4951.8903104678702</v>
      </c>
      <c r="S206" s="134">
        <f>SUM(S189:S199)+SUM(S201:S204)</f>
        <v>2779.9606591557249</v>
      </c>
      <c r="T206" s="133">
        <f>SUM(T189:T199)+SUM(T201:T204)</f>
        <v>13431.903106672205</v>
      </c>
    </row>
    <row r="207" spans="2:20" x14ac:dyDescent="0.25">
      <c r="E207" s="83"/>
      <c r="F207" s="83"/>
      <c r="G207" s="83"/>
      <c r="H207" s="83"/>
      <c r="I207" s="83"/>
      <c r="J207" s="83"/>
      <c r="K207" s="83"/>
      <c r="L207" s="83"/>
      <c r="M207" s="83"/>
      <c r="N207" s="83"/>
    </row>
    <row r="208" spans="2:20" x14ac:dyDescent="0.25">
      <c r="B208" s="245" t="s">
        <v>403</v>
      </c>
      <c r="C208" s="245"/>
      <c r="D208" s="245"/>
      <c r="E208" s="245"/>
    </row>
    <row r="210" spans="2:15" x14ac:dyDescent="0.25">
      <c r="C210" t="s">
        <v>289</v>
      </c>
      <c r="D210" t="s">
        <v>290</v>
      </c>
      <c r="E210" t="s">
        <v>291</v>
      </c>
    </row>
    <row r="211" spans="2:15" x14ac:dyDescent="0.25">
      <c r="B211" t="s">
        <v>405</v>
      </c>
      <c r="C211" s="68">
        <f>D206</f>
        <v>5852.4723104678706</v>
      </c>
      <c r="D211" s="68">
        <f>K206</f>
        <v>5852.4723104678706</v>
      </c>
      <c r="E211" s="68">
        <f>R206</f>
        <v>4951.8903104678702</v>
      </c>
    </row>
    <row r="212" spans="2:15" x14ac:dyDescent="0.25">
      <c r="B212" t="s">
        <v>404</v>
      </c>
      <c r="C212" s="68">
        <f>E206</f>
        <v>1948.5362105896875</v>
      </c>
      <c r="D212" s="68">
        <f>L206</f>
        <v>3721.9288057252929</v>
      </c>
      <c r="E212" s="68">
        <f>S206</f>
        <v>2779.9606591557249</v>
      </c>
    </row>
    <row r="213" spans="2:15" x14ac:dyDescent="0.25">
      <c r="B213" t="s">
        <v>362</v>
      </c>
      <c r="C213" s="68">
        <f>F206</f>
        <v>9742.4431322507426</v>
      </c>
      <c r="D213" s="68">
        <f>M206</f>
        <v>18944.116479400458</v>
      </c>
      <c r="E213" s="68">
        <f>T206</f>
        <v>13431.903106672205</v>
      </c>
    </row>
    <row r="215" spans="2:15" x14ac:dyDescent="0.25">
      <c r="G215" s="217" t="s">
        <v>308</v>
      </c>
      <c r="H215" s="217"/>
      <c r="I215" s="217"/>
      <c r="J215" s="217"/>
    </row>
    <row r="216" spans="2:15" x14ac:dyDescent="0.25">
      <c r="B216" s="217" t="s">
        <v>306</v>
      </c>
      <c r="C216" s="217"/>
      <c r="D216" s="217"/>
      <c r="E216" s="52"/>
    </row>
    <row r="217" spans="2:15" x14ac:dyDescent="0.25">
      <c r="B217" s="52" t="s">
        <v>307</v>
      </c>
      <c r="C217" s="52"/>
      <c r="D217">
        <v>1.8</v>
      </c>
      <c r="E217" t="s">
        <v>19</v>
      </c>
      <c r="H217" s="52" t="s">
        <v>323</v>
      </c>
      <c r="I217" s="52"/>
      <c r="J217">
        <v>9</v>
      </c>
      <c r="L217" s="217" t="s">
        <v>313</v>
      </c>
      <c r="M217" s="217"/>
      <c r="N217" s="57">
        <f>D218*D217*D219*25</f>
        <v>4924.8</v>
      </c>
      <c r="O217" t="s">
        <v>81</v>
      </c>
    </row>
    <row r="218" spans="2:15" x14ac:dyDescent="0.25">
      <c r="B218" s="217" t="s">
        <v>310</v>
      </c>
      <c r="C218" s="217"/>
      <c r="D218">
        <v>9.6</v>
      </c>
      <c r="E218" t="s">
        <v>19</v>
      </c>
      <c r="H218" s="217" t="s">
        <v>406</v>
      </c>
      <c r="I218" s="217"/>
      <c r="J218">
        <v>23</v>
      </c>
      <c r="K218" t="s">
        <v>19</v>
      </c>
      <c r="L218" s="217" t="s">
        <v>314</v>
      </c>
      <c r="M218" s="217"/>
      <c r="N218" s="57">
        <f>PI()*J217*J219^2*25*J218/4</f>
        <v>5852.7871136377844</v>
      </c>
      <c r="O218" t="s">
        <v>81</v>
      </c>
    </row>
    <row r="219" spans="2:15" x14ac:dyDescent="0.25">
      <c r="B219" s="217" t="s">
        <v>311</v>
      </c>
      <c r="C219" s="217"/>
      <c r="D219">
        <v>11.4</v>
      </c>
      <c r="E219" t="s">
        <v>19</v>
      </c>
      <c r="H219" s="217" t="s">
        <v>322</v>
      </c>
      <c r="I219" s="217"/>
      <c r="J219">
        <v>1.2</v>
      </c>
      <c r="K219" t="s">
        <v>19</v>
      </c>
    </row>
    <row r="220" spans="2:15" x14ac:dyDescent="0.25">
      <c r="B220" s="217" t="s">
        <v>407</v>
      </c>
      <c r="C220" s="217"/>
      <c r="D220">
        <v>0.6</v>
      </c>
      <c r="E220" t="s">
        <v>316</v>
      </c>
    </row>
    <row r="221" spans="2:15" x14ac:dyDescent="0.25">
      <c r="D221">
        <v>0.9</v>
      </c>
      <c r="E221" t="s">
        <v>317</v>
      </c>
      <c r="H221" s="52" t="s">
        <v>317</v>
      </c>
    </row>
    <row r="222" spans="2:15" x14ac:dyDescent="0.25">
      <c r="E222">
        <v>-1.2</v>
      </c>
      <c r="G222">
        <v>-3.6</v>
      </c>
      <c r="I222">
        <v>3.6</v>
      </c>
      <c r="J222">
        <v>1.2</v>
      </c>
    </row>
    <row r="226" spans="3:24" x14ac:dyDescent="0.25">
      <c r="L226">
        <v>1.5</v>
      </c>
      <c r="M226" t="s">
        <v>19</v>
      </c>
      <c r="V226" t="s">
        <v>460</v>
      </c>
    </row>
    <row r="227" spans="3:24" x14ac:dyDescent="0.25">
      <c r="W227">
        <f>D304</f>
        <v>12.04</v>
      </c>
      <c r="X227" t="s">
        <v>19</v>
      </c>
    </row>
    <row r="232" spans="3:24" x14ac:dyDescent="0.25">
      <c r="L232">
        <v>4.2</v>
      </c>
      <c r="M232" t="s">
        <v>19</v>
      </c>
      <c r="V232" t="s">
        <v>461</v>
      </c>
    </row>
    <row r="233" spans="3:24" x14ac:dyDescent="0.25">
      <c r="C233">
        <v>11.4</v>
      </c>
      <c r="D233" t="s">
        <v>19</v>
      </c>
      <c r="W233">
        <f>23-W227</f>
        <v>10.96</v>
      </c>
      <c r="X233" t="s">
        <v>19</v>
      </c>
    </row>
    <row r="236" spans="3:24" x14ac:dyDescent="0.25">
      <c r="L236" s="52" t="s">
        <v>316</v>
      </c>
    </row>
    <row r="238" spans="3:24" x14ac:dyDescent="0.25">
      <c r="L238">
        <v>-4.2</v>
      </c>
      <c r="M238" t="s">
        <v>19</v>
      </c>
    </row>
    <row r="243" spans="5:13" x14ac:dyDescent="0.25">
      <c r="L243">
        <v>-1.5</v>
      </c>
      <c r="M243" t="s">
        <v>19</v>
      </c>
    </row>
    <row r="249" spans="5:13" x14ac:dyDescent="0.25">
      <c r="H249">
        <v>9.6</v>
      </c>
      <c r="I249" t="s">
        <v>19</v>
      </c>
    </row>
    <row r="250" spans="5:13" ht="16.2" x14ac:dyDescent="0.25">
      <c r="E250" s="66" t="s">
        <v>315</v>
      </c>
      <c r="F250" s="66" t="s">
        <v>316</v>
      </c>
      <c r="G250" s="66" t="s">
        <v>317</v>
      </c>
      <c r="H250" s="66" t="s">
        <v>318</v>
      </c>
      <c r="I250" s="66" t="s">
        <v>319</v>
      </c>
    </row>
    <row r="251" spans="5:13" x14ac:dyDescent="0.25">
      <c r="E251" s="66">
        <v>1</v>
      </c>
      <c r="F251" s="66">
        <f>G222</f>
        <v>-3.6</v>
      </c>
      <c r="G251" s="66">
        <f>L232</f>
        <v>4.2</v>
      </c>
      <c r="H251" s="66">
        <f t="shared" ref="H251:H259" si="19">$F251*$F251</f>
        <v>12.96</v>
      </c>
      <c r="I251" s="66">
        <f t="shared" ref="I251:I259" si="20">$G251*$G251</f>
        <v>17.64</v>
      </c>
    </row>
    <row r="252" spans="5:13" x14ac:dyDescent="0.25">
      <c r="E252" s="66">
        <v>2</v>
      </c>
      <c r="F252" s="66">
        <v>0</v>
      </c>
      <c r="G252" s="66">
        <f>L232</f>
        <v>4.2</v>
      </c>
      <c r="H252" s="66">
        <f t="shared" si="19"/>
        <v>0</v>
      </c>
      <c r="I252" s="66">
        <f t="shared" si="20"/>
        <v>17.64</v>
      </c>
    </row>
    <row r="253" spans="5:13" x14ac:dyDescent="0.25">
      <c r="E253" s="66">
        <v>3</v>
      </c>
      <c r="F253" s="66">
        <f>I222</f>
        <v>3.6</v>
      </c>
      <c r="G253" s="66">
        <f>L232</f>
        <v>4.2</v>
      </c>
      <c r="H253" s="66">
        <f t="shared" si="19"/>
        <v>12.96</v>
      </c>
      <c r="I253" s="66">
        <f t="shared" si="20"/>
        <v>17.64</v>
      </c>
    </row>
    <row r="254" spans="5:13" x14ac:dyDescent="0.25">
      <c r="E254" s="66">
        <v>4</v>
      </c>
      <c r="F254" s="66">
        <f>G222</f>
        <v>-3.6</v>
      </c>
      <c r="G254" s="66">
        <f>0</f>
        <v>0</v>
      </c>
      <c r="H254" s="66">
        <f t="shared" si="19"/>
        <v>12.96</v>
      </c>
      <c r="I254" s="66">
        <f t="shared" si="20"/>
        <v>0</v>
      </c>
    </row>
    <row r="255" spans="5:13" x14ac:dyDescent="0.25">
      <c r="E255" s="66">
        <v>5</v>
      </c>
      <c r="F255" s="66">
        <v>0</v>
      </c>
      <c r="G255" s="66">
        <v>0</v>
      </c>
      <c r="H255" s="66">
        <f t="shared" si="19"/>
        <v>0</v>
      </c>
      <c r="I255" s="66">
        <f t="shared" si="20"/>
        <v>0</v>
      </c>
    </row>
    <row r="256" spans="5:13" x14ac:dyDescent="0.25">
      <c r="E256" s="66">
        <v>6</v>
      </c>
      <c r="F256" s="66">
        <f>I222</f>
        <v>3.6</v>
      </c>
      <c r="G256" s="66">
        <v>0</v>
      </c>
      <c r="H256" s="66">
        <f t="shared" si="19"/>
        <v>12.96</v>
      </c>
      <c r="I256" s="66">
        <f t="shared" si="20"/>
        <v>0</v>
      </c>
    </row>
    <row r="257" spans="1:14" x14ac:dyDescent="0.25">
      <c r="E257" s="66">
        <v>7</v>
      </c>
      <c r="F257" s="66">
        <f>G222</f>
        <v>-3.6</v>
      </c>
      <c r="G257" s="66">
        <f>L238</f>
        <v>-4.2</v>
      </c>
      <c r="H257" s="66">
        <f t="shared" si="19"/>
        <v>12.96</v>
      </c>
      <c r="I257" s="66">
        <f t="shared" si="20"/>
        <v>17.64</v>
      </c>
    </row>
    <row r="258" spans="1:14" x14ac:dyDescent="0.25">
      <c r="E258" s="66">
        <v>8</v>
      </c>
      <c r="F258" s="66">
        <v>0</v>
      </c>
      <c r="G258" s="66">
        <f>L238</f>
        <v>-4.2</v>
      </c>
      <c r="H258" s="66">
        <f t="shared" si="19"/>
        <v>0</v>
      </c>
      <c r="I258" s="66">
        <f t="shared" si="20"/>
        <v>17.64</v>
      </c>
    </row>
    <row r="259" spans="1:14" x14ac:dyDescent="0.25">
      <c r="E259" s="66">
        <v>9</v>
      </c>
      <c r="F259" s="66">
        <f>I222</f>
        <v>3.6</v>
      </c>
      <c r="G259" s="66">
        <f>L238</f>
        <v>-4.2</v>
      </c>
      <c r="H259" s="66">
        <f t="shared" si="19"/>
        <v>12.96</v>
      </c>
      <c r="I259" s="66">
        <f t="shared" si="20"/>
        <v>17.64</v>
      </c>
    </row>
    <row r="260" spans="1:14" x14ac:dyDescent="0.25">
      <c r="H260" s="137">
        <f>SUM(H251:H259)</f>
        <v>77.760000000000019</v>
      </c>
      <c r="I260" s="57">
        <f>SUM(I251:I259)</f>
        <v>105.84</v>
      </c>
    </row>
    <row r="263" spans="1:14" x14ac:dyDescent="0.25">
      <c r="E263" s="245" t="s">
        <v>320</v>
      </c>
      <c r="F263" s="245"/>
      <c r="G263" s="245"/>
      <c r="H263" s="245"/>
    </row>
    <row r="265" spans="1:14" x14ac:dyDescent="0.25">
      <c r="B265" s="217" t="s">
        <v>324</v>
      </c>
      <c r="C265" s="217"/>
      <c r="G265" s="217" t="s">
        <v>328</v>
      </c>
      <c r="H265" s="217"/>
      <c r="L265" s="217" t="s">
        <v>329</v>
      </c>
      <c r="M265" s="217"/>
    </row>
    <row r="266" spans="1:14" x14ac:dyDescent="0.25">
      <c r="A266" s="66" t="s">
        <v>325</v>
      </c>
      <c r="B266" s="66" t="s">
        <v>326</v>
      </c>
      <c r="C266" s="66" t="s">
        <v>277</v>
      </c>
      <c r="D266" s="66" t="s">
        <v>327</v>
      </c>
      <c r="F266" s="66" t="s">
        <v>325</v>
      </c>
      <c r="G266" s="66" t="s">
        <v>326</v>
      </c>
      <c r="H266" s="66" t="s">
        <v>277</v>
      </c>
      <c r="I266" s="66" t="s">
        <v>327</v>
      </c>
      <c r="K266" s="66" t="s">
        <v>325</v>
      </c>
      <c r="L266" s="66" t="s">
        <v>326</v>
      </c>
      <c r="M266" s="66" t="s">
        <v>277</v>
      </c>
      <c r="N266" s="66" t="s">
        <v>327</v>
      </c>
    </row>
    <row r="267" spans="1:14" x14ac:dyDescent="0.25">
      <c r="A267" s="138">
        <f>($C$211+$N$217+$N$218)/$J$217</f>
        <v>1847.7843804561837</v>
      </c>
      <c r="B267" s="138">
        <f>$C$212/$J$217</f>
        <v>216.50402339885417</v>
      </c>
      <c r="C267" s="138">
        <f>($C$213/$I$260)*$G251</f>
        <v>386.60488620042628</v>
      </c>
      <c r="D267" s="138">
        <f>A267+C267</f>
        <v>2234.3892666566098</v>
      </c>
      <c r="F267" s="138">
        <f>($D$211+$N$217+$N$218)/$J$217</f>
        <v>1847.7843804561837</v>
      </c>
      <c r="G267" s="138">
        <f>$D$212/$J$217</f>
        <v>413.5476450805881</v>
      </c>
      <c r="H267" s="138">
        <f>$D$213/$I$260*$G251</f>
        <v>751.75065394446256</v>
      </c>
      <c r="I267" s="138">
        <f>F267+H267</f>
        <v>2599.5350344006465</v>
      </c>
      <c r="K267" s="138">
        <f>($E$211+$N$217+$N$218)/$J$217</f>
        <v>1747.7197137895173</v>
      </c>
      <c r="L267" s="138">
        <f>$E$212/$J$217</f>
        <v>308.88451768396942</v>
      </c>
      <c r="M267" s="138">
        <f>$E$213/$I$260*$G251</f>
        <v>533.01202804254785</v>
      </c>
      <c r="N267" s="138">
        <f>K267+M267</f>
        <v>2280.7317418320654</v>
      </c>
    </row>
    <row r="268" spans="1:14" x14ac:dyDescent="0.25">
      <c r="A268" s="138">
        <f t="shared" ref="A268:A275" si="21">($C$211+$N$217+$N$218)/$J$217</f>
        <v>1847.7843804561837</v>
      </c>
      <c r="B268" s="138">
        <f t="shared" ref="B268:B275" si="22">$C$212/$J$217</f>
        <v>216.50402339885417</v>
      </c>
      <c r="C268" s="138">
        <f t="shared" ref="C268:C275" si="23">($C$213/$I$260)*$G252</f>
        <v>386.60488620042628</v>
      </c>
      <c r="D268" s="138">
        <f t="shared" ref="D268:D275" si="24">A268+C268</f>
        <v>2234.3892666566098</v>
      </c>
      <c r="F268" s="138">
        <f t="shared" ref="F268:F275" si="25">($D$211+$N$217+$N$218)/$J$217</f>
        <v>1847.7843804561837</v>
      </c>
      <c r="G268" s="138">
        <f t="shared" ref="G268:G275" si="26">$D$212/$J$217</f>
        <v>413.5476450805881</v>
      </c>
      <c r="H268" s="138">
        <f t="shared" ref="H268:H275" si="27">$D$213/$I$260*$G252</f>
        <v>751.75065394446256</v>
      </c>
      <c r="I268" s="138">
        <f t="shared" ref="I268:I275" si="28">F268+H268</f>
        <v>2599.5350344006465</v>
      </c>
      <c r="K268" s="138">
        <f t="shared" ref="K268:K275" si="29">($E$211+$N$217+$N$218)/$J$217</f>
        <v>1747.7197137895173</v>
      </c>
      <c r="L268" s="138">
        <f t="shared" ref="L268:L275" si="30">$E$212/$J$217</f>
        <v>308.88451768396942</v>
      </c>
      <c r="M268" s="138">
        <f t="shared" ref="M268:M275" si="31">$E$213/$I$260*$G252</f>
        <v>533.01202804254785</v>
      </c>
      <c r="N268" s="138">
        <f t="shared" ref="N268:N275" si="32">K268+M268</f>
        <v>2280.7317418320654</v>
      </c>
    </row>
    <row r="269" spans="1:14" x14ac:dyDescent="0.25">
      <c r="A269" s="138">
        <f t="shared" si="21"/>
        <v>1847.7843804561837</v>
      </c>
      <c r="B269" s="138">
        <f t="shared" si="22"/>
        <v>216.50402339885417</v>
      </c>
      <c r="C269" s="138">
        <f t="shared" si="23"/>
        <v>386.60488620042628</v>
      </c>
      <c r="D269" s="138">
        <f t="shared" si="24"/>
        <v>2234.3892666566098</v>
      </c>
      <c r="F269" s="138">
        <f t="shared" si="25"/>
        <v>1847.7843804561837</v>
      </c>
      <c r="G269" s="138">
        <f t="shared" si="26"/>
        <v>413.5476450805881</v>
      </c>
      <c r="H269" s="138">
        <f t="shared" si="27"/>
        <v>751.75065394446256</v>
      </c>
      <c r="I269" s="138">
        <f t="shared" si="28"/>
        <v>2599.5350344006465</v>
      </c>
      <c r="K269" s="138">
        <f t="shared" si="29"/>
        <v>1747.7197137895173</v>
      </c>
      <c r="L269" s="138">
        <f t="shared" si="30"/>
        <v>308.88451768396942</v>
      </c>
      <c r="M269" s="138">
        <f t="shared" si="31"/>
        <v>533.01202804254785</v>
      </c>
      <c r="N269" s="138">
        <f t="shared" si="32"/>
        <v>2280.7317418320654</v>
      </c>
    </row>
    <row r="270" spans="1:14" x14ac:dyDescent="0.25">
      <c r="A270" s="138">
        <f t="shared" si="21"/>
        <v>1847.7843804561837</v>
      </c>
      <c r="B270" s="138">
        <f t="shared" si="22"/>
        <v>216.50402339885417</v>
      </c>
      <c r="C270" s="138">
        <f t="shared" si="23"/>
        <v>0</v>
      </c>
      <c r="D270" s="138">
        <f t="shared" si="24"/>
        <v>1847.7843804561837</v>
      </c>
      <c r="F270" s="138">
        <f t="shared" si="25"/>
        <v>1847.7843804561837</v>
      </c>
      <c r="G270" s="138">
        <f t="shared" si="26"/>
        <v>413.5476450805881</v>
      </c>
      <c r="H270" s="138">
        <f t="shared" si="27"/>
        <v>0</v>
      </c>
      <c r="I270" s="138">
        <f t="shared" si="28"/>
        <v>1847.7843804561837</v>
      </c>
      <c r="K270" s="138">
        <f t="shared" si="29"/>
        <v>1747.7197137895173</v>
      </c>
      <c r="L270" s="138">
        <f t="shared" si="30"/>
        <v>308.88451768396942</v>
      </c>
      <c r="M270" s="138">
        <f t="shared" si="31"/>
        <v>0</v>
      </c>
      <c r="N270" s="138">
        <f t="shared" si="32"/>
        <v>1747.7197137895173</v>
      </c>
    </row>
    <row r="271" spans="1:14" x14ac:dyDescent="0.25">
      <c r="A271" s="138">
        <f t="shared" si="21"/>
        <v>1847.7843804561837</v>
      </c>
      <c r="B271" s="138">
        <f t="shared" si="22"/>
        <v>216.50402339885417</v>
      </c>
      <c r="C271" s="138">
        <f t="shared" si="23"/>
        <v>0</v>
      </c>
      <c r="D271" s="138">
        <f t="shared" si="24"/>
        <v>1847.7843804561837</v>
      </c>
      <c r="F271" s="138">
        <f t="shared" si="25"/>
        <v>1847.7843804561837</v>
      </c>
      <c r="G271" s="138">
        <f t="shared" si="26"/>
        <v>413.5476450805881</v>
      </c>
      <c r="H271" s="138">
        <f t="shared" si="27"/>
        <v>0</v>
      </c>
      <c r="I271" s="138">
        <f t="shared" si="28"/>
        <v>1847.7843804561837</v>
      </c>
      <c r="K271" s="138">
        <f t="shared" si="29"/>
        <v>1747.7197137895173</v>
      </c>
      <c r="L271" s="138">
        <f t="shared" si="30"/>
        <v>308.88451768396942</v>
      </c>
      <c r="M271" s="138">
        <f t="shared" si="31"/>
        <v>0</v>
      </c>
      <c r="N271" s="138">
        <f t="shared" si="32"/>
        <v>1747.7197137895173</v>
      </c>
    </row>
    <row r="272" spans="1:14" x14ac:dyDescent="0.25">
      <c r="A272" s="138">
        <f t="shared" si="21"/>
        <v>1847.7843804561837</v>
      </c>
      <c r="B272" s="138">
        <f t="shared" si="22"/>
        <v>216.50402339885417</v>
      </c>
      <c r="C272" s="138">
        <f t="shared" si="23"/>
        <v>0</v>
      </c>
      <c r="D272" s="138">
        <f t="shared" si="24"/>
        <v>1847.7843804561837</v>
      </c>
      <c r="F272" s="138">
        <f t="shared" si="25"/>
        <v>1847.7843804561837</v>
      </c>
      <c r="G272" s="138">
        <f t="shared" si="26"/>
        <v>413.5476450805881</v>
      </c>
      <c r="H272" s="138">
        <f t="shared" si="27"/>
        <v>0</v>
      </c>
      <c r="I272" s="138">
        <f t="shared" si="28"/>
        <v>1847.7843804561837</v>
      </c>
      <c r="K272" s="138">
        <f t="shared" si="29"/>
        <v>1747.7197137895173</v>
      </c>
      <c r="L272" s="138">
        <f t="shared" si="30"/>
        <v>308.88451768396942</v>
      </c>
      <c r="M272" s="138">
        <f t="shared" si="31"/>
        <v>0</v>
      </c>
      <c r="N272" s="138">
        <f t="shared" si="32"/>
        <v>1747.7197137895173</v>
      </c>
    </row>
    <row r="273" spans="1:14" x14ac:dyDescent="0.25">
      <c r="A273" s="138">
        <f t="shared" si="21"/>
        <v>1847.7843804561837</v>
      </c>
      <c r="B273" s="138">
        <f t="shared" si="22"/>
        <v>216.50402339885417</v>
      </c>
      <c r="C273" s="138">
        <f t="shared" si="23"/>
        <v>-386.60488620042628</v>
      </c>
      <c r="D273" s="138">
        <f t="shared" si="24"/>
        <v>1461.1794942557574</v>
      </c>
      <c r="F273" s="138">
        <f t="shared" si="25"/>
        <v>1847.7843804561837</v>
      </c>
      <c r="G273" s="138">
        <f t="shared" si="26"/>
        <v>413.5476450805881</v>
      </c>
      <c r="H273" s="138">
        <f t="shared" si="27"/>
        <v>-751.75065394446256</v>
      </c>
      <c r="I273" s="138">
        <f t="shared" si="28"/>
        <v>1096.0337265117212</v>
      </c>
      <c r="K273" s="138">
        <f t="shared" si="29"/>
        <v>1747.7197137895173</v>
      </c>
      <c r="L273" s="138">
        <f t="shared" si="30"/>
        <v>308.88451768396942</v>
      </c>
      <c r="M273" s="138">
        <f t="shared" si="31"/>
        <v>-533.01202804254785</v>
      </c>
      <c r="N273" s="138">
        <f t="shared" si="32"/>
        <v>1214.7076857469694</v>
      </c>
    </row>
    <row r="274" spans="1:14" x14ac:dyDescent="0.25">
      <c r="A274" s="138">
        <f t="shared" si="21"/>
        <v>1847.7843804561837</v>
      </c>
      <c r="B274" s="138">
        <f t="shared" si="22"/>
        <v>216.50402339885417</v>
      </c>
      <c r="C274" s="138">
        <f t="shared" si="23"/>
        <v>-386.60488620042628</v>
      </c>
      <c r="D274" s="138">
        <f t="shared" si="24"/>
        <v>1461.1794942557574</v>
      </c>
      <c r="F274" s="138">
        <f t="shared" si="25"/>
        <v>1847.7843804561837</v>
      </c>
      <c r="G274" s="138">
        <f t="shared" si="26"/>
        <v>413.5476450805881</v>
      </c>
      <c r="H274" s="138">
        <f t="shared" si="27"/>
        <v>-751.75065394446256</v>
      </c>
      <c r="I274" s="138">
        <f t="shared" si="28"/>
        <v>1096.0337265117212</v>
      </c>
      <c r="K274" s="138">
        <f t="shared" si="29"/>
        <v>1747.7197137895173</v>
      </c>
      <c r="L274" s="138">
        <f t="shared" si="30"/>
        <v>308.88451768396942</v>
      </c>
      <c r="M274" s="138">
        <f t="shared" si="31"/>
        <v>-533.01202804254785</v>
      </c>
      <c r="N274" s="138">
        <f t="shared" si="32"/>
        <v>1214.7076857469694</v>
      </c>
    </row>
    <row r="275" spans="1:14" x14ac:dyDescent="0.25">
      <c r="A275" s="138">
        <f t="shared" si="21"/>
        <v>1847.7843804561837</v>
      </c>
      <c r="B275" s="138">
        <f t="shared" si="22"/>
        <v>216.50402339885417</v>
      </c>
      <c r="C275" s="138">
        <f t="shared" si="23"/>
        <v>-386.60488620042628</v>
      </c>
      <c r="D275" s="138">
        <f t="shared" si="24"/>
        <v>1461.1794942557574</v>
      </c>
      <c r="F275" s="138">
        <f t="shared" si="25"/>
        <v>1847.7843804561837</v>
      </c>
      <c r="G275" s="138">
        <f t="shared" si="26"/>
        <v>413.5476450805881</v>
      </c>
      <c r="H275" s="138">
        <f t="shared" si="27"/>
        <v>-751.75065394446256</v>
      </c>
      <c r="I275" s="138">
        <f t="shared" si="28"/>
        <v>1096.0337265117212</v>
      </c>
      <c r="K275" s="138">
        <f t="shared" si="29"/>
        <v>1747.7197137895173</v>
      </c>
      <c r="L275" s="138">
        <f t="shared" si="30"/>
        <v>308.88451768396942</v>
      </c>
      <c r="M275" s="138">
        <f t="shared" si="31"/>
        <v>-533.01202804254785</v>
      </c>
      <c r="N275" s="138">
        <f t="shared" si="32"/>
        <v>1214.7076857469694</v>
      </c>
    </row>
    <row r="278" spans="1:14" x14ac:dyDescent="0.25">
      <c r="E278" s="245" t="s">
        <v>408</v>
      </c>
      <c r="F278" s="245"/>
      <c r="G278" s="245"/>
      <c r="H278" s="245"/>
    </row>
    <row r="280" spans="1:14" x14ac:dyDescent="0.25">
      <c r="F280" t="s">
        <v>325</v>
      </c>
      <c r="G280" t="s">
        <v>153</v>
      </c>
    </row>
    <row r="281" spans="1:14" x14ac:dyDescent="0.25">
      <c r="E281" t="s">
        <v>324</v>
      </c>
      <c r="F281" s="70">
        <f>MAX(D267:D275)</f>
        <v>2234.3892666566098</v>
      </c>
      <c r="G281" s="70">
        <f>MAX(B267:B275)</f>
        <v>216.50402339885417</v>
      </c>
    </row>
    <row r="282" spans="1:14" x14ac:dyDescent="0.25">
      <c r="E282" t="s">
        <v>328</v>
      </c>
      <c r="F282" s="136">
        <f>MAX(I267:I275)</f>
        <v>2599.5350344006465</v>
      </c>
      <c r="G282" s="136">
        <f>MAX(G267:G275)</f>
        <v>413.5476450805881</v>
      </c>
    </row>
    <row r="283" spans="1:14" x14ac:dyDescent="0.25">
      <c r="E283" t="s">
        <v>329</v>
      </c>
      <c r="F283" s="70">
        <f>MAX(N267:N275)</f>
        <v>2280.7317418320654</v>
      </c>
      <c r="G283" s="70">
        <f>MAX(L267:L275)</f>
        <v>308.88451768396942</v>
      </c>
    </row>
    <row r="287" spans="1:14" x14ac:dyDescent="0.25">
      <c r="E287" s="245" t="s">
        <v>340</v>
      </c>
      <c r="F287" s="245"/>
      <c r="G287" s="245"/>
      <c r="H287" s="245"/>
    </row>
    <row r="289" spans="1:9" x14ac:dyDescent="0.25">
      <c r="A289" s="217" t="s">
        <v>341</v>
      </c>
      <c r="B289" s="217"/>
      <c r="C289">
        <f>J218</f>
        <v>23</v>
      </c>
      <c r="D289" t="s">
        <v>19</v>
      </c>
    </row>
    <row r="290" spans="1:9" x14ac:dyDescent="0.25">
      <c r="A290" s="217" t="s">
        <v>342</v>
      </c>
      <c r="B290" s="217"/>
      <c r="C290">
        <f>J219</f>
        <v>1.2</v>
      </c>
      <c r="D290" t="s">
        <v>19</v>
      </c>
    </row>
    <row r="292" spans="1:9" x14ac:dyDescent="0.25">
      <c r="A292" s="111" t="s">
        <v>343</v>
      </c>
      <c r="B292" s="111"/>
      <c r="C292" s="111"/>
    </row>
    <row r="294" spans="1:9" ht="16.2" x14ac:dyDescent="0.25">
      <c r="A294" s="217" t="s">
        <v>345</v>
      </c>
      <c r="B294" s="217"/>
      <c r="C294" s="217"/>
      <c r="D294">
        <v>5000</v>
      </c>
      <c r="E294" t="s">
        <v>138</v>
      </c>
    </row>
    <row r="296" spans="1:9" ht="16.2" x14ac:dyDescent="0.25">
      <c r="A296" s="217" t="s">
        <v>346</v>
      </c>
      <c r="B296" s="217"/>
      <c r="C296" s="217"/>
      <c r="D296" s="58">
        <f>1/4 *PI()*(C290/2)^4</f>
        <v>0.10178760197630929</v>
      </c>
      <c r="E296" t="s">
        <v>347</v>
      </c>
    </row>
    <row r="297" spans="1:9" ht="16.2" x14ac:dyDescent="0.25">
      <c r="A297" s="217" t="s">
        <v>348</v>
      </c>
      <c r="B297" s="217"/>
      <c r="C297" s="217"/>
      <c r="D297">
        <f>(5000*SQRT('abutment design'!G10))*1000</f>
        <v>27386127.875258304</v>
      </c>
      <c r="E297" t="s">
        <v>217</v>
      </c>
    </row>
    <row r="298" spans="1:9" x14ac:dyDescent="0.25">
      <c r="A298" s="217" t="s">
        <v>349</v>
      </c>
      <c r="B298" s="217"/>
      <c r="C298" s="217"/>
      <c r="D298" s="70">
        <f>(D296*D297/D294)^(1/5)</f>
        <v>3.542020758076188</v>
      </c>
      <c r="E298" t="s">
        <v>19</v>
      </c>
      <c r="G298" s="113"/>
      <c r="H298" s="113" t="s">
        <v>356</v>
      </c>
      <c r="I298" s="113"/>
    </row>
    <row r="299" spans="1:9" x14ac:dyDescent="0.25">
      <c r="G299" s="113"/>
      <c r="H299" s="113">
        <v>0</v>
      </c>
      <c r="I299" s="114">
        <v>2.2000000000000002</v>
      </c>
    </row>
    <row r="300" spans="1:9" x14ac:dyDescent="0.25">
      <c r="C300" t="s">
        <v>350</v>
      </c>
      <c r="D300" s="70">
        <f>2*D298</f>
        <v>7.084041516152376</v>
      </c>
      <c r="G300" s="113"/>
      <c r="H300" s="113">
        <v>2</v>
      </c>
      <c r="I300" s="114">
        <v>1.95</v>
      </c>
    </row>
    <row r="301" spans="1:9" x14ac:dyDescent="0.25">
      <c r="C301" t="s">
        <v>351</v>
      </c>
      <c r="D301" s="70">
        <f>4*D298</f>
        <v>14.168083032304752</v>
      </c>
      <c r="G301" s="113"/>
      <c r="H301" s="113">
        <v>4</v>
      </c>
      <c r="I301" s="114">
        <v>1.87</v>
      </c>
    </row>
    <row r="302" spans="1:9" x14ac:dyDescent="0.25">
      <c r="G302" s="113"/>
      <c r="H302" s="113">
        <v>6</v>
      </c>
      <c r="I302" s="114">
        <v>1.84</v>
      </c>
    </row>
    <row r="303" spans="1:9" x14ac:dyDescent="0.25">
      <c r="A303" s="217" t="s">
        <v>352</v>
      </c>
      <c r="B303" s="217"/>
      <c r="C303" s="217"/>
      <c r="D303">
        <f>C289</f>
        <v>23</v>
      </c>
      <c r="E303" t="s">
        <v>19</v>
      </c>
      <c r="G303" s="113"/>
      <c r="H303" s="113">
        <v>8</v>
      </c>
      <c r="I303" s="114">
        <v>1.825</v>
      </c>
    </row>
    <row r="304" spans="1:9" ht="16.2" x14ac:dyDescent="0.35">
      <c r="B304" s="217" t="s">
        <v>353</v>
      </c>
      <c r="C304" s="217"/>
      <c r="D304">
        <v>12.04</v>
      </c>
      <c r="E304" t="s">
        <v>19</v>
      </c>
      <c r="G304" s="113"/>
      <c r="H304" s="113">
        <v>10</v>
      </c>
      <c r="I304" s="114">
        <v>1.82</v>
      </c>
    </row>
    <row r="305" spans="1:8" x14ac:dyDescent="0.25">
      <c r="B305" s="217" t="s">
        <v>354</v>
      </c>
      <c r="C305" s="217"/>
      <c r="D305" s="70">
        <f>D304/D298</f>
        <v>3.3991895650378403</v>
      </c>
    </row>
    <row r="306" spans="1:8" x14ac:dyDescent="0.25">
      <c r="B306" s="217" t="s">
        <v>462</v>
      </c>
      <c r="C306" s="217"/>
    </row>
    <row r="307" spans="1:8" x14ac:dyDescent="0.25">
      <c r="B307" s="217" t="s">
        <v>355</v>
      </c>
      <c r="C307" s="217"/>
      <c r="D307" s="70">
        <f>findinter(D305,H300,I300,H301,I301)</f>
        <v>1.8940324173984864</v>
      </c>
    </row>
    <row r="308" spans="1:8" x14ac:dyDescent="0.25">
      <c r="B308" s="217" t="s">
        <v>358</v>
      </c>
      <c r="C308" s="217"/>
      <c r="D308" s="70">
        <f>D307*D298</f>
        <v>6.7087021388946617</v>
      </c>
    </row>
    <row r="310" spans="1:8" x14ac:dyDescent="0.25">
      <c r="B310" s="217" t="s">
        <v>359</v>
      </c>
      <c r="C310" s="217"/>
      <c r="E310" s="217" t="s">
        <v>360</v>
      </c>
      <c r="F310" s="217"/>
    </row>
    <row r="312" spans="1:8" x14ac:dyDescent="0.25">
      <c r="B312" t="s">
        <v>411</v>
      </c>
      <c r="C312" t="s">
        <v>305</v>
      </c>
      <c r="E312" t="s">
        <v>361</v>
      </c>
      <c r="F312" t="s">
        <v>362</v>
      </c>
    </row>
    <row r="313" spans="1:8" x14ac:dyDescent="0.25">
      <c r="B313" s="70">
        <f t="shared" ref="B313:C315" si="33">F281</f>
        <v>2234.3892666566098</v>
      </c>
      <c r="C313" s="70">
        <f t="shared" si="33"/>
        <v>216.50402339885417</v>
      </c>
      <c r="E313" s="58">
        <f>($C313*($D$304+$D$308)^3)/(12*$D$297*$D$296)</f>
        <v>4.2655284139631489E-2</v>
      </c>
      <c r="F313" s="70">
        <f>0.5*($D$304+$D$308)*$C313</f>
        <v>2029.5847232886986</v>
      </c>
    </row>
    <row r="314" spans="1:8" x14ac:dyDescent="0.25">
      <c r="B314" s="70">
        <f t="shared" si="33"/>
        <v>2599.5350344006465</v>
      </c>
      <c r="C314" s="70">
        <f t="shared" si="33"/>
        <v>413.5476450805881</v>
      </c>
      <c r="E314" s="58">
        <f>($C314*($D$304+$D$308)^3)/(12*$D$297*$D$296)</f>
        <v>8.1476510363461999E-2</v>
      </c>
      <c r="F314" s="70">
        <f>0.5*($D$304+$D$308)*$C314</f>
        <v>3876.7408089286359</v>
      </c>
    </row>
    <row r="315" spans="1:8" x14ac:dyDescent="0.25">
      <c r="B315" s="70">
        <f t="shared" si="33"/>
        <v>2280.7317418320654</v>
      </c>
      <c r="C315" s="70">
        <f t="shared" si="33"/>
        <v>308.88451768396942</v>
      </c>
      <c r="E315" s="58">
        <f>($C315*($D$304+$D$308)^3)/(12*$D$297*$D$296)</f>
        <v>6.0855944666996308E-2</v>
      </c>
      <c r="F315" s="70">
        <f>0.5*($D$304+$D$308)*$C315</f>
        <v>2895.5919086864415</v>
      </c>
    </row>
    <row r="317" spans="1:8" x14ac:dyDescent="0.25">
      <c r="B317" s="111"/>
      <c r="C317" s="245" t="s">
        <v>363</v>
      </c>
      <c r="D317" s="245"/>
      <c r="E317" s="245"/>
      <c r="F317" s="245"/>
    </row>
    <row r="319" spans="1:8" ht="16.2" x14ac:dyDescent="0.25">
      <c r="A319" s="217" t="s">
        <v>364</v>
      </c>
      <c r="B319" s="217"/>
      <c r="C319">
        <v>20</v>
      </c>
      <c r="D319" t="s">
        <v>138</v>
      </c>
      <c r="E319" s="217" t="s">
        <v>50</v>
      </c>
      <c r="F319" s="217"/>
      <c r="G319">
        <v>29.94</v>
      </c>
      <c r="H319" t="s">
        <v>60</v>
      </c>
    </row>
    <row r="320" spans="1:8" ht="17.399999999999999" x14ac:dyDescent="0.35">
      <c r="A320" s="217" t="s">
        <v>395</v>
      </c>
      <c r="B320" s="217"/>
      <c r="C320" s="107">
        <v>0.33400000000000002</v>
      </c>
      <c r="E320" s="217" t="s">
        <v>369</v>
      </c>
      <c r="F320" s="217"/>
      <c r="G320" s="70">
        <f>(PI()/4)*C322^2</f>
        <v>1.1309733552923256</v>
      </c>
      <c r="H320" t="s">
        <v>371</v>
      </c>
    </row>
    <row r="321" spans="1:8" ht="16.2" x14ac:dyDescent="0.25">
      <c r="A321" s="217" t="s">
        <v>365</v>
      </c>
      <c r="B321" s="217"/>
      <c r="C321" s="58">
        <f>TAN(G319*PI()/180)</f>
        <v>0.57595484894872906</v>
      </c>
      <c r="E321" s="217" t="s">
        <v>370</v>
      </c>
      <c r="F321" s="217"/>
      <c r="G321" s="70">
        <f>C322*PI()*C323</f>
        <v>86.707957239078297</v>
      </c>
      <c r="H321" t="s">
        <v>371</v>
      </c>
    </row>
    <row r="322" spans="1:8" x14ac:dyDescent="0.25">
      <c r="A322" s="217" t="s">
        <v>367</v>
      </c>
      <c r="B322" s="217"/>
      <c r="C322">
        <f>C290</f>
        <v>1.2</v>
      </c>
      <c r="D322" t="s">
        <v>19</v>
      </c>
      <c r="E322" s="217"/>
      <c r="F322" s="217"/>
    </row>
    <row r="323" spans="1:8" x14ac:dyDescent="0.25">
      <c r="A323" s="217" t="s">
        <v>368</v>
      </c>
      <c r="B323" s="217"/>
      <c r="C323">
        <f>C289</f>
        <v>23</v>
      </c>
      <c r="D323" t="s">
        <v>19</v>
      </c>
    </row>
    <row r="324" spans="1:8" x14ac:dyDescent="0.25">
      <c r="A324" s="217" t="s">
        <v>366</v>
      </c>
      <c r="B324" s="217"/>
      <c r="C324" s="217"/>
      <c r="D324" s="217"/>
      <c r="E324" s="217"/>
      <c r="F324" s="217"/>
    </row>
    <row r="328" spans="1:8" x14ac:dyDescent="0.25">
      <c r="B328" s="113"/>
      <c r="C328" s="113"/>
      <c r="D328" s="248" t="s">
        <v>372</v>
      </c>
      <c r="E328" s="248" t="s">
        <v>85</v>
      </c>
      <c r="F328" s="113"/>
    </row>
    <row r="329" spans="1:8" x14ac:dyDescent="0.25">
      <c r="B329" s="113" t="s">
        <v>373</v>
      </c>
      <c r="C329" s="113"/>
      <c r="D329" s="248"/>
      <c r="E329" s="248"/>
      <c r="F329" s="113" t="s">
        <v>374</v>
      </c>
    </row>
    <row r="330" spans="1:8" x14ac:dyDescent="0.25">
      <c r="B330" s="116">
        <v>0</v>
      </c>
      <c r="C330" s="117"/>
      <c r="D330" s="118">
        <f>B330*C319*C320</f>
        <v>0</v>
      </c>
      <c r="E330" s="117"/>
      <c r="F330" s="117"/>
    </row>
    <row r="331" spans="1:8" x14ac:dyDescent="0.25">
      <c r="B331" s="116">
        <f>B330+0.5</f>
        <v>0.5</v>
      </c>
      <c r="C331" s="117"/>
      <c r="D331" s="118">
        <f>IF(B331&lt;=$D$304,0,$B331*$C$319*$C$320)</f>
        <v>0</v>
      </c>
      <c r="E331" s="116">
        <f>AVERAGE(D330:D331)*PI()*$C$322*(B331-B330)</f>
        <v>0</v>
      </c>
      <c r="F331" s="116">
        <f ca="1">E33+F331:F3581*$C$321</f>
        <v>0</v>
      </c>
    </row>
    <row r="332" spans="1:8" x14ac:dyDescent="0.25">
      <c r="B332" s="116">
        <f t="shared" ref="B332:B370" si="34">B331+0.5</f>
        <v>1</v>
      </c>
      <c r="C332" s="117"/>
      <c r="D332" s="118">
        <f t="shared" ref="D332:D376" si="35">IF(B332&lt;=$D$304,0,$B332*$C$319*$C$320)</f>
        <v>0</v>
      </c>
      <c r="E332" s="116">
        <f t="shared" ref="E332:E376" si="36">AVERAGE(D331:D332)*PI()*$C$322*(B332-B331)</f>
        <v>0</v>
      </c>
      <c r="F332" s="116">
        <f t="shared" ref="F332:F376" si="37">E332*$C$321</f>
        <v>0</v>
      </c>
    </row>
    <row r="333" spans="1:8" x14ac:dyDescent="0.25">
      <c r="B333" s="116">
        <f t="shared" si="34"/>
        <v>1.5</v>
      </c>
      <c r="C333" s="117"/>
      <c r="D333" s="118">
        <f t="shared" si="35"/>
        <v>0</v>
      </c>
      <c r="E333" s="116">
        <f t="shared" si="36"/>
        <v>0</v>
      </c>
      <c r="F333" s="116">
        <f t="shared" si="37"/>
        <v>0</v>
      </c>
    </row>
    <row r="334" spans="1:8" x14ac:dyDescent="0.25">
      <c r="B334" s="116">
        <f t="shared" si="34"/>
        <v>2</v>
      </c>
      <c r="C334" s="117"/>
      <c r="D334" s="118">
        <f t="shared" si="35"/>
        <v>0</v>
      </c>
      <c r="E334" s="116">
        <f t="shared" si="36"/>
        <v>0</v>
      </c>
      <c r="F334" s="116">
        <f t="shared" si="37"/>
        <v>0</v>
      </c>
    </row>
    <row r="335" spans="1:8" x14ac:dyDescent="0.25">
      <c r="B335" s="116">
        <f t="shared" si="34"/>
        <v>2.5</v>
      </c>
      <c r="C335" s="117"/>
      <c r="D335" s="118">
        <f t="shared" si="35"/>
        <v>0</v>
      </c>
      <c r="E335" s="116">
        <f t="shared" si="36"/>
        <v>0</v>
      </c>
      <c r="F335" s="116">
        <f t="shared" si="37"/>
        <v>0</v>
      </c>
    </row>
    <row r="336" spans="1:8" x14ac:dyDescent="0.25">
      <c r="B336" s="116">
        <f t="shared" si="34"/>
        <v>3</v>
      </c>
      <c r="C336" s="117"/>
      <c r="D336" s="118">
        <f t="shared" si="35"/>
        <v>0</v>
      </c>
      <c r="E336" s="116">
        <f t="shared" si="36"/>
        <v>0</v>
      </c>
      <c r="F336" s="116">
        <f t="shared" si="37"/>
        <v>0</v>
      </c>
    </row>
    <row r="337" spans="2:6" x14ac:dyDescent="0.25">
      <c r="B337" s="116">
        <f t="shared" si="34"/>
        <v>3.5</v>
      </c>
      <c r="C337" s="117"/>
      <c r="D337" s="118">
        <f t="shared" si="35"/>
        <v>0</v>
      </c>
      <c r="E337" s="116">
        <f t="shared" si="36"/>
        <v>0</v>
      </c>
      <c r="F337" s="116">
        <f t="shared" si="37"/>
        <v>0</v>
      </c>
    </row>
    <row r="338" spans="2:6" x14ac:dyDescent="0.25">
      <c r="B338" s="116">
        <f t="shared" si="34"/>
        <v>4</v>
      </c>
      <c r="C338" s="117"/>
      <c r="D338" s="118">
        <f t="shared" si="35"/>
        <v>0</v>
      </c>
      <c r="E338" s="116">
        <f t="shared" si="36"/>
        <v>0</v>
      </c>
      <c r="F338" s="116">
        <f t="shared" si="37"/>
        <v>0</v>
      </c>
    </row>
    <row r="339" spans="2:6" x14ac:dyDescent="0.25">
      <c r="B339" s="116">
        <f t="shared" si="34"/>
        <v>4.5</v>
      </c>
      <c r="C339" s="117"/>
      <c r="D339" s="118">
        <f t="shared" si="35"/>
        <v>0</v>
      </c>
      <c r="E339" s="116">
        <f t="shared" si="36"/>
        <v>0</v>
      </c>
      <c r="F339" s="116">
        <f t="shared" si="37"/>
        <v>0</v>
      </c>
    </row>
    <row r="340" spans="2:6" x14ac:dyDescent="0.25">
      <c r="B340" s="116">
        <f t="shared" si="34"/>
        <v>5</v>
      </c>
      <c r="C340" s="117"/>
      <c r="D340" s="118">
        <f t="shared" si="35"/>
        <v>0</v>
      </c>
      <c r="E340" s="116">
        <f t="shared" si="36"/>
        <v>0</v>
      </c>
      <c r="F340" s="116">
        <f t="shared" si="37"/>
        <v>0</v>
      </c>
    </row>
    <row r="341" spans="2:6" x14ac:dyDescent="0.25">
      <c r="B341" s="116">
        <f t="shared" si="34"/>
        <v>5.5</v>
      </c>
      <c r="C341" s="117"/>
      <c r="D341" s="118">
        <f t="shared" si="35"/>
        <v>0</v>
      </c>
      <c r="E341" s="116">
        <f t="shared" si="36"/>
        <v>0</v>
      </c>
      <c r="F341" s="116">
        <f t="shared" si="37"/>
        <v>0</v>
      </c>
    </row>
    <row r="342" spans="2:6" x14ac:dyDescent="0.25">
      <c r="B342" s="116">
        <f t="shared" si="34"/>
        <v>6</v>
      </c>
      <c r="C342" s="117"/>
      <c r="D342" s="118">
        <f t="shared" si="35"/>
        <v>0</v>
      </c>
      <c r="E342" s="116">
        <f t="shared" si="36"/>
        <v>0</v>
      </c>
      <c r="F342" s="116">
        <f t="shared" si="37"/>
        <v>0</v>
      </c>
    </row>
    <row r="343" spans="2:6" x14ac:dyDescent="0.25">
      <c r="B343" s="116">
        <f t="shared" si="34"/>
        <v>6.5</v>
      </c>
      <c r="C343" s="117"/>
      <c r="D343" s="118">
        <f t="shared" si="35"/>
        <v>0</v>
      </c>
      <c r="E343" s="116">
        <f t="shared" si="36"/>
        <v>0</v>
      </c>
      <c r="F343" s="116">
        <f t="shared" si="37"/>
        <v>0</v>
      </c>
    </row>
    <row r="344" spans="2:6" x14ac:dyDescent="0.25">
      <c r="B344" s="116">
        <f t="shared" si="34"/>
        <v>7</v>
      </c>
      <c r="C344" s="117"/>
      <c r="D344" s="118">
        <f t="shared" si="35"/>
        <v>0</v>
      </c>
      <c r="E344" s="116">
        <f t="shared" si="36"/>
        <v>0</v>
      </c>
      <c r="F344" s="116">
        <f t="shared" si="37"/>
        <v>0</v>
      </c>
    </row>
    <row r="345" spans="2:6" x14ac:dyDescent="0.25">
      <c r="B345" s="116">
        <f t="shared" si="34"/>
        <v>7.5</v>
      </c>
      <c r="C345" s="117"/>
      <c r="D345" s="118">
        <f t="shared" si="35"/>
        <v>0</v>
      </c>
      <c r="E345" s="116">
        <f t="shared" si="36"/>
        <v>0</v>
      </c>
      <c r="F345" s="116">
        <f t="shared" si="37"/>
        <v>0</v>
      </c>
    </row>
    <row r="346" spans="2:6" x14ac:dyDescent="0.25">
      <c r="B346" s="116">
        <f t="shared" si="34"/>
        <v>8</v>
      </c>
      <c r="C346" s="117"/>
      <c r="D346" s="118">
        <f t="shared" si="35"/>
        <v>0</v>
      </c>
      <c r="E346" s="116">
        <f t="shared" si="36"/>
        <v>0</v>
      </c>
      <c r="F346" s="116">
        <f t="shared" si="37"/>
        <v>0</v>
      </c>
    </row>
    <row r="347" spans="2:6" x14ac:dyDescent="0.25">
      <c r="B347" s="116">
        <f t="shared" si="34"/>
        <v>8.5</v>
      </c>
      <c r="C347" s="117"/>
      <c r="D347" s="118">
        <f t="shared" si="35"/>
        <v>0</v>
      </c>
      <c r="E347" s="116">
        <f t="shared" si="36"/>
        <v>0</v>
      </c>
      <c r="F347" s="116">
        <f t="shared" si="37"/>
        <v>0</v>
      </c>
    </row>
    <row r="348" spans="2:6" x14ac:dyDescent="0.25">
      <c r="B348" s="116">
        <f t="shared" si="34"/>
        <v>9</v>
      </c>
      <c r="C348" s="117"/>
      <c r="D348" s="118">
        <f t="shared" si="35"/>
        <v>0</v>
      </c>
      <c r="E348" s="116">
        <f t="shared" si="36"/>
        <v>0</v>
      </c>
      <c r="F348" s="116">
        <f t="shared" si="37"/>
        <v>0</v>
      </c>
    </row>
    <row r="349" spans="2:6" x14ac:dyDescent="0.25">
      <c r="B349" s="116">
        <f t="shared" si="34"/>
        <v>9.5</v>
      </c>
      <c r="C349" s="117"/>
      <c r="D349" s="118">
        <f t="shared" si="35"/>
        <v>0</v>
      </c>
      <c r="E349" s="116">
        <f t="shared" si="36"/>
        <v>0</v>
      </c>
      <c r="F349" s="116">
        <f t="shared" si="37"/>
        <v>0</v>
      </c>
    </row>
    <row r="350" spans="2:6" x14ac:dyDescent="0.25">
      <c r="B350" s="116">
        <f t="shared" si="34"/>
        <v>10</v>
      </c>
      <c r="C350" s="117"/>
      <c r="D350" s="118">
        <f t="shared" si="35"/>
        <v>0</v>
      </c>
      <c r="E350" s="116">
        <f t="shared" si="36"/>
        <v>0</v>
      </c>
      <c r="F350" s="116">
        <f t="shared" si="37"/>
        <v>0</v>
      </c>
    </row>
    <row r="351" spans="2:6" x14ac:dyDescent="0.25">
      <c r="B351" s="116">
        <f t="shared" si="34"/>
        <v>10.5</v>
      </c>
      <c r="C351" s="117"/>
      <c r="D351" s="118">
        <f t="shared" si="35"/>
        <v>0</v>
      </c>
      <c r="E351" s="116">
        <f t="shared" si="36"/>
        <v>0</v>
      </c>
      <c r="F351" s="116">
        <f t="shared" si="37"/>
        <v>0</v>
      </c>
    </row>
    <row r="352" spans="2:6" x14ac:dyDescent="0.25">
      <c r="B352" s="116">
        <f t="shared" si="34"/>
        <v>11</v>
      </c>
      <c r="C352" s="117"/>
      <c r="D352" s="118">
        <f t="shared" si="35"/>
        <v>0</v>
      </c>
      <c r="E352" s="116">
        <f t="shared" si="36"/>
        <v>0</v>
      </c>
      <c r="F352" s="116">
        <f t="shared" si="37"/>
        <v>0</v>
      </c>
    </row>
    <row r="353" spans="2:9" x14ac:dyDescent="0.25">
      <c r="B353" s="116">
        <f t="shared" si="34"/>
        <v>11.5</v>
      </c>
      <c r="C353" s="117"/>
      <c r="D353" s="118">
        <f t="shared" si="35"/>
        <v>0</v>
      </c>
      <c r="E353" s="116">
        <f t="shared" si="36"/>
        <v>0</v>
      </c>
      <c r="F353" s="116">
        <f t="shared" si="37"/>
        <v>0</v>
      </c>
    </row>
    <row r="354" spans="2:9" x14ac:dyDescent="0.25">
      <c r="B354" s="116">
        <f t="shared" si="34"/>
        <v>12</v>
      </c>
      <c r="C354" s="117"/>
      <c r="D354" s="118">
        <f t="shared" si="35"/>
        <v>0</v>
      </c>
      <c r="E354" s="116">
        <f t="shared" si="36"/>
        <v>0</v>
      </c>
      <c r="F354" s="116">
        <f t="shared" si="37"/>
        <v>0</v>
      </c>
    </row>
    <row r="355" spans="2:9" x14ac:dyDescent="0.25">
      <c r="B355" s="116">
        <f>B354+0.5</f>
        <v>12.5</v>
      </c>
      <c r="C355" s="117"/>
      <c r="D355" s="118">
        <f t="shared" si="35"/>
        <v>83.5</v>
      </c>
      <c r="E355" s="116">
        <f t="shared" si="36"/>
        <v>78.696895972424315</v>
      </c>
      <c r="F355" s="116">
        <f t="shared" si="37"/>
        <v>45.325858832531488</v>
      </c>
    </row>
    <row r="356" spans="2:9" x14ac:dyDescent="0.25">
      <c r="B356" s="116">
        <f t="shared" si="34"/>
        <v>13</v>
      </c>
      <c r="C356" s="117"/>
      <c r="D356" s="118">
        <f t="shared" si="35"/>
        <v>86.84</v>
      </c>
      <c r="E356" s="116">
        <f t="shared" si="36"/>
        <v>160.54166778374562</v>
      </c>
      <c r="F356" s="116">
        <f t="shared" si="37"/>
        <v>92.464752018364251</v>
      </c>
      <c r="I356" s="68"/>
    </row>
    <row r="357" spans="2:9" x14ac:dyDescent="0.25">
      <c r="B357" s="116">
        <f t="shared" si="34"/>
        <v>13.5</v>
      </c>
      <c r="C357" s="117"/>
      <c r="D357" s="118">
        <f t="shared" si="35"/>
        <v>90.18</v>
      </c>
      <c r="E357" s="116">
        <f t="shared" si="36"/>
        <v>166.83741946153955</v>
      </c>
      <c r="F357" s="116">
        <f t="shared" si="37"/>
        <v>96.090820724966761</v>
      </c>
    </row>
    <row r="358" spans="2:9" x14ac:dyDescent="0.25">
      <c r="B358" s="116">
        <f t="shared" si="34"/>
        <v>14</v>
      </c>
      <c r="C358" s="117"/>
      <c r="D358" s="118">
        <f t="shared" si="35"/>
        <v>93.52000000000001</v>
      </c>
      <c r="E358" s="116">
        <f t="shared" si="36"/>
        <v>173.13317113933348</v>
      </c>
      <c r="F358" s="116">
        <f t="shared" si="37"/>
        <v>99.716889431569271</v>
      </c>
    </row>
    <row r="359" spans="2:9" x14ac:dyDescent="0.25">
      <c r="B359" s="116">
        <f t="shared" si="34"/>
        <v>14.5</v>
      </c>
      <c r="C359" s="117"/>
      <c r="D359" s="118">
        <f t="shared" si="35"/>
        <v>96.86</v>
      </c>
      <c r="E359" s="116">
        <f t="shared" si="36"/>
        <v>179.42892281712744</v>
      </c>
      <c r="F359" s="116">
        <f t="shared" si="37"/>
        <v>103.3429581381718</v>
      </c>
    </row>
    <row r="360" spans="2:9" x14ac:dyDescent="0.25">
      <c r="B360" s="116">
        <f t="shared" si="34"/>
        <v>15</v>
      </c>
      <c r="C360" s="117"/>
      <c r="D360" s="118">
        <f t="shared" si="35"/>
        <v>100.2</v>
      </c>
      <c r="E360" s="116">
        <f t="shared" si="36"/>
        <v>185.72467449492137</v>
      </c>
      <c r="F360" s="116">
        <f t="shared" si="37"/>
        <v>106.96902684477431</v>
      </c>
    </row>
    <row r="361" spans="2:9" x14ac:dyDescent="0.25">
      <c r="B361" s="116">
        <f t="shared" si="34"/>
        <v>15.5</v>
      </c>
      <c r="C361" s="117"/>
      <c r="D361" s="118">
        <f t="shared" si="35"/>
        <v>103.54</v>
      </c>
      <c r="E361" s="116">
        <f t="shared" si="36"/>
        <v>192.02042617271533</v>
      </c>
      <c r="F361" s="116">
        <f t="shared" si="37"/>
        <v>110.59509555137684</v>
      </c>
    </row>
    <row r="362" spans="2:9" x14ac:dyDescent="0.25">
      <c r="B362" s="116">
        <f t="shared" si="34"/>
        <v>16</v>
      </c>
      <c r="C362" s="117"/>
      <c r="D362" s="118">
        <f t="shared" si="35"/>
        <v>106.88000000000001</v>
      </c>
      <c r="E362" s="116">
        <f t="shared" si="36"/>
        <v>198.31617785050929</v>
      </c>
      <c r="F362" s="116">
        <f t="shared" si="37"/>
        <v>114.22116425797937</v>
      </c>
    </row>
    <row r="363" spans="2:9" x14ac:dyDescent="0.25">
      <c r="B363" s="116">
        <f t="shared" si="34"/>
        <v>16.5</v>
      </c>
      <c r="C363" s="117"/>
      <c r="D363" s="118">
        <f t="shared" si="35"/>
        <v>110.22000000000001</v>
      </c>
      <c r="E363" s="116">
        <f t="shared" si="36"/>
        <v>204.61192952830325</v>
      </c>
      <c r="F363" s="116">
        <f t="shared" si="37"/>
        <v>117.84723296458189</v>
      </c>
    </row>
    <row r="364" spans="2:9" x14ac:dyDescent="0.25">
      <c r="B364" s="116">
        <f t="shared" si="34"/>
        <v>17</v>
      </c>
      <c r="C364" s="117"/>
      <c r="D364" s="118">
        <f t="shared" si="35"/>
        <v>113.56</v>
      </c>
      <c r="E364" s="116">
        <f t="shared" si="36"/>
        <v>210.90768120609718</v>
      </c>
      <c r="F364" s="116">
        <f t="shared" si="37"/>
        <v>121.4733016711844</v>
      </c>
      <c r="I364" s="68"/>
    </row>
    <row r="365" spans="2:9" x14ac:dyDescent="0.25">
      <c r="B365" s="116">
        <f t="shared" si="34"/>
        <v>17.5</v>
      </c>
      <c r="C365" s="117"/>
      <c r="D365" s="118">
        <f t="shared" si="35"/>
        <v>116.9</v>
      </c>
      <c r="E365" s="116">
        <f t="shared" si="36"/>
        <v>217.20343288389111</v>
      </c>
      <c r="F365" s="116">
        <f t="shared" si="37"/>
        <v>125.09937037778691</v>
      </c>
    </row>
    <row r="366" spans="2:9" x14ac:dyDescent="0.25">
      <c r="B366" s="116">
        <f t="shared" si="34"/>
        <v>18</v>
      </c>
      <c r="C366" s="117"/>
      <c r="D366" s="118">
        <f t="shared" si="35"/>
        <v>120.24000000000001</v>
      </c>
      <c r="E366" s="116">
        <f t="shared" si="36"/>
        <v>223.49918456168507</v>
      </c>
      <c r="F366" s="116">
        <f t="shared" si="37"/>
        <v>128.72543908438945</v>
      </c>
    </row>
    <row r="367" spans="2:9" x14ac:dyDescent="0.25">
      <c r="B367" s="116">
        <f t="shared" si="34"/>
        <v>18.5</v>
      </c>
      <c r="C367" s="117"/>
      <c r="D367" s="118">
        <f t="shared" si="35"/>
        <v>123.58000000000001</v>
      </c>
      <c r="E367" s="116">
        <f t="shared" si="36"/>
        <v>229.794936239479</v>
      </c>
      <c r="F367" s="116">
        <f t="shared" si="37"/>
        <v>132.35150779099195</v>
      </c>
    </row>
    <row r="368" spans="2:9" x14ac:dyDescent="0.25">
      <c r="B368" s="116">
        <f t="shared" si="34"/>
        <v>19</v>
      </c>
      <c r="C368" s="117"/>
      <c r="D368" s="118">
        <f t="shared" si="35"/>
        <v>126.92</v>
      </c>
      <c r="E368" s="116">
        <f t="shared" si="36"/>
        <v>236.09068791727293</v>
      </c>
      <c r="F368" s="116">
        <f t="shared" si="37"/>
        <v>135.97757649759447</v>
      </c>
    </row>
    <row r="369" spans="2:17" x14ac:dyDescent="0.25">
      <c r="B369" s="116">
        <f t="shared" si="34"/>
        <v>19.5</v>
      </c>
      <c r="C369" s="117"/>
      <c r="D369" s="118">
        <f t="shared" si="35"/>
        <v>130.26000000000002</v>
      </c>
      <c r="E369" s="116">
        <f t="shared" si="36"/>
        <v>242.38643959506689</v>
      </c>
      <c r="F369" s="116">
        <f t="shared" si="37"/>
        <v>139.60364520419699</v>
      </c>
    </row>
    <row r="370" spans="2:17" x14ac:dyDescent="0.25">
      <c r="B370" s="116">
        <f t="shared" si="34"/>
        <v>20</v>
      </c>
      <c r="C370" s="117"/>
      <c r="D370" s="118">
        <f t="shared" si="35"/>
        <v>133.6</v>
      </c>
      <c r="E370" s="116">
        <f t="shared" si="36"/>
        <v>248.68219127286085</v>
      </c>
      <c r="F370" s="116">
        <f t="shared" si="37"/>
        <v>143.22971391079952</v>
      </c>
    </row>
    <row r="371" spans="2:17" x14ac:dyDescent="0.25">
      <c r="B371" s="116">
        <v>20.5</v>
      </c>
      <c r="C371" s="117"/>
      <c r="D371" s="118">
        <f t="shared" si="35"/>
        <v>136.94</v>
      </c>
      <c r="E371" s="116">
        <f t="shared" si="36"/>
        <v>254.97794295065472</v>
      </c>
      <c r="F371" s="116">
        <f t="shared" si="37"/>
        <v>146.85578261740199</v>
      </c>
    </row>
    <row r="372" spans="2:17" x14ac:dyDescent="0.25">
      <c r="B372" s="116">
        <v>21</v>
      </c>
      <c r="C372" s="117"/>
      <c r="D372" s="118">
        <f t="shared" si="35"/>
        <v>140.28</v>
      </c>
      <c r="E372" s="116">
        <f t="shared" si="36"/>
        <v>261.27369462844877</v>
      </c>
      <c r="F372" s="116">
        <f t="shared" si="37"/>
        <v>150.48185132400457</v>
      </c>
    </row>
    <row r="373" spans="2:17" x14ac:dyDescent="0.25">
      <c r="B373" s="116">
        <v>21.5</v>
      </c>
      <c r="C373" s="117"/>
      <c r="D373" s="118">
        <f t="shared" si="35"/>
        <v>143.62</v>
      </c>
      <c r="E373" s="116">
        <f t="shared" si="36"/>
        <v>267.56944630624264</v>
      </c>
      <c r="F373" s="116">
        <f t="shared" si="37"/>
        <v>154.10792003060706</v>
      </c>
    </row>
    <row r="374" spans="2:17" x14ac:dyDescent="0.25">
      <c r="B374" s="116">
        <v>22</v>
      </c>
      <c r="C374" s="117"/>
      <c r="D374" s="118">
        <f t="shared" si="35"/>
        <v>146.96</v>
      </c>
      <c r="E374" s="116">
        <f t="shared" si="36"/>
        <v>273.86519798403668</v>
      </c>
      <c r="F374" s="116">
        <f t="shared" si="37"/>
        <v>157.73398873720961</v>
      </c>
    </row>
    <row r="375" spans="2:17" x14ac:dyDescent="0.25">
      <c r="B375" s="116">
        <v>22.5</v>
      </c>
      <c r="C375" s="117"/>
      <c r="D375" s="118">
        <f t="shared" si="35"/>
        <v>150.30000000000001</v>
      </c>
      <c r="E375" s="116">
        <f t="shared" si="36"/>
        <v>280.16094966183056</v>
      </c>
      <c r="F375" s="116">
        <f t="shared" si="37"/>
        <v>161.36005744381211</v>
      </c>
    </row>
    <row r="376" spans="2:17" x14ac:dyDescent="0.25">
      <c r="B376" s="116">
        <v>23</v>
      </c>
      <c r="C376" s="117"/>
      <c r="D376" s="118">
        <f t="shared" si="35"/>
        <v>153.64000000000001</v>
      </c>
      <c r="E376" s="116">
        <f t="shared" si="36"/>
        <v>286.45670133962454</v>
      </c>
      <c r="F376" s="116">
        <f t="shared" si="37"/>
        <v>164.98612615041463</v>
      </c>
    </row>
    <row r="378" spans="2:17" ht="14.4" x14ac:dyDescent="0.3">
      <c r="D378" s="113"/>
      <c r="E378" s="120" t="s">
        <v>375</v>
      </c>
      <c r="F378" s="121">
        <f ca="1">SUM(F331:F376)</f>
        <v>2025.6701315403338</v>
      </c>
      <c r="G378" s="113" t="s">
        <v>177</v>
      </c>
    </row>
    <row r="380" spans="2:17" x14ac:dyDescent="0.25">
      <c r="B380" s="113"/>
      <c r="C380" s="113"/>
      <c r="H380" s="113"/>
      <c r="I380" s="113"/>
      <c r="J380" s="113"/>
      <c r="K380" s="113"/>
      <c r="L380" s="113"/>
      <c r="M380" s="113"/>
      <c r="N380" s="113"/>
      <c r="O380" s="113"/>
      <c r="P380" s="113"/>
      <c r="Q380" s="113"/>
    </row>
    <row r="381" spans="2:17" x14ac:dyDescent="0.25">
      <c r="B381" s="113"/>
      <c r="C381" s="113"/>
      <c r="D381" s="113" t="s">
        <v>376</v>
      </c>
      <c r="E381" s="113">
        <v>2.5</v>
      </c>
      <c r="F381" s="122">
        <f ca="1">F378/E381</f>
        <v>810.26805261613356</v>
      </c>
      <c r="G381" s="113" t="s">
        <v>177</v>
      </c>
      <c r="H381" s="113"/>
      <c r="I381" s="113"/>
      <c r="J381" s="113"/>
      <c r="K381" s="113"/>
      <c r="L381" s="113"/>
      <c r="M381" s="113"/>
      <c r="N381" s="113"/>
      <c r="O381" s="113"/>
      <c r="P381" s="113"/>
      <c r="Q381" s="113"/>
    </row>
    <row r="382" spans="2:17" x14ac:dyDescent="0.25">
      <c r="B382" s="113"/>
      <c r="C382" s="113"/>
      <c r="D382" s="113"/>
      <c r="E382" s="113"/>
      <c r="F382" s="122"/>
      <c r="G382" s="113"/>
      <c r="H382" s="113"/>
      <c r="I382" s="113"/>
      <c r="J382" s="113"/>
      <c r="K382" s="113"/>
      <c r="L382" s="113"/>
      <c r="M382" s="113"/>
      <c r="N382" s="113"/>
      <c r="O382" s="113"/>
      <c r="P382" s="113"/>
      <c r="Q382" s="113"/>
    </row>
    <row r="383" spans="2:17" x14ac:dyDescent="0.25">
      <c r="B383" s="113"/>
      <c r="C383" s="113"/>
      <c r="D383" s="113"/>
      <c r="E383" s="123"/>
      <c r="F383" s="124" t="s">
        <v>377</v>
      </c>
      <c r="G383" s="113">
        <v>29.94</v>
      </c>
      <c r="H383" s="113" t="s">
        <v>60</v>
      </c>
      <c r="I383" s="113">
        <f>G383*PI()/180</f>
        <v>0.52255157804710228</v>
      </c>
      <c r="J383" s="113"/>
      <c r="K383" s="113"/>
      <c r="L383" s="113"/>
      <c r="M383" s="113"/>
      <c r="N383" s="113"/>
      <c r="O383" s="113"/>
      <c r="P383" s="113"/>
      <c r="Q383" s="113"/>
    </row>
    <row r="384" spans="2:17" x14ac:dyDescent="0.25">
      <c r="B384" s="113"/>
      <c r="C384" s="113"/>
      <c r="D384" s="113"/>
      <c r="E384" s="123"/>
      <c r="F384" s="124" t="s">
        <v>378</v>
      </c>
      <c r="G384" s="114">
        <v>1</v>
      </c>
      <c r="H384" s="113"/>
      <c r="I384" s="113"/>
      <c r="J384" s="113"/>
      <c r="K384" s="113"/>
      <c r="L384" s="113"/>
      <c r="M384" s="113"/>
      <c r="N384" s="113"/>
      <c r="O384" s="113"/>
      <c r="P384" s="113"/>
      <c r="Q384" s="113"/>
    </row>
    <row r="385" spans="2:17" x14ac:dyDescent="0.25">
      <c r="B385" s="113"/>
      <c r="C385" s="113"/>
      <c r="D385" s="113"/>
      <c r="E385" s="123"/>
      <c r="F385" s="124" t="s">
        <v>379</v>
      </c>
      <c r="G385" s="114">
        <f>G383</f>
        <v>29.94</v>
      </c>
      <c r="H385" s="113"/>
      <c r="I385" s="113"/>
      <c r="J385" s="113"/>
      <c r="K385" s="113"/>
      <c r="L385" s="113"/>
      <c r="M385" s="113"/>
      <c r="N385" s="113"/>
      <c r="O385" s="113"/>
      <c r="P385" s="113"/>
      <c r="Q385" s="113"/>
    </row>
    <row r="386" spans="2:17" x14ac:dyDescent="0.25">
      <c r="B386" s="113"/>
      <c r="C386" s="113"/>
      <c r="D386" s="113"/>
      <c r="E386" s="123"/>
      <c r="F386" s="113" t="s">
        <v>380</v>
      </c>
      <c r="G386" s="125">
        <f>TAN(G385*PI()/180)</f>
        <v>0.57595484894872906</v>
      </c>
      <c r="H386" s="113"/>
      <c r="I386" s="113"/>
      <c r="J386" s="113"/>
      <c r="K386" s="113"/>
      <c r="L386" s="113"/>
      <c r="M386" s="113"/>
      <c r="N386" s="113"/>
      <c r="O386" s="113"/>
      <c r="P386" s="113"/>
      <c r="Q386" s="113"/>
    </row>
    <row r="387" spans="2:17" x14ac:dyDescent="0.25">
      <c r="B387" s="113"/>
      <c r="C387" s="113"/>
      <c r="D387" s="113"/>
      <c r="E387" s="123"/>
      <c r="F387" s="113" t="s">
        <v>381</v>
      </c>
      <c r="G387" s="113">
        <v>20</v>
      </c>
      <c r="H387" s="113" t="s">
        <v>382</v>
      </c>
      <c r="I387" s="113"/>
      <c r="J387" s="113"/>
      <c r="K387" s="113"/>
      <c r="L387" s="113"/>
      <c r="M387" s="113"/>
      <c r="N387" s="113"/>
      <c r="O387" s="113"/>
      <c r="P387" s="113"/>
      <c r="Q387" s="113"/>
    </row>
    <row r="388" spans="2:17" x14ac:dyDescent="0.25">
      <c r="B388" s="113"/>
      <c r="C388" s="113" t="s">
        <v>383</v>
      </c>
      <c r="D388" s="113"/>
      <c r="E388" s="113"/>
      <c r="F388" s="113"/>
      <c r="G388" s="113">
        <v>15</v>
      </c>
      <c r="H388" s="113" t="s">
        <v>384</v>
      </c>
      <c r="I388" s="113" t="s">
        <v>385</v>
      </c>
      <c r="J388" s="123">
        <f>C322</f>
        <v>1.2</v>
      </c>
      <c r="K388" s="113"/>
      <c r="L388" s="252" t="s">
        <v>386</v>
      </c>
      <c r="M388" s="252"/>
      <c r="N388" s="252"/>
      <c r="O388" s="252"/>
      <c r="P388" s="252"/>
      <c r="Q388" s="252"/>
    </row>
    <row r="389" spans="2:17" x14ac:dyDescent="0.25">
      <c r="B389" s="113"/>
      <c r="C389" s="113" t="s">
        <v>387</v>
      </c>
      <c r="D389" s="113">
        <v>20</v>
      </c>
      <c r="E389" s="113"/>
      <c r="F389" s="113" t="s">
        <v>388</v>
      </c>
      <c r="G389" s="123">
        <f>C323-D304</f>
        <v>10.96</v>
      </c>
      <c r="H389" s="113" t="s">
        <v>19</v>
      </c>
      <c r="I389" s="113" t="s">
        <v>389</v>
      </c>
      <c r="J389" s="114">
        <f>G389*G387*G384</f>
        <v>219.20000000000002</v>
      </c>
      <c r="K389" s="113"/>
      <c r="L389" s="113"/>
      <c r="M389" s="113"/>
      <c r="N389" s="113"/>
      <c r="O389" s="113"/>
      <c r="P389" s="113"/>
      <c r="Q389" s="113"/>
    </row>
    <row r="390" spans="2:17" x14ac:dyDescent="0.25">
      <c r="B390" s="113"/>
      <c r="C390" s="113" t="s">
        <v>390</v>
      </c>
      <c r="D390" s="113">
        <v>20</v>
      </c>
      <c r="E390" s="113"/>
      <c r="F390" s="113"/>
      <c r="G390" s="113"/>
      <c r="H390" s="113"/>
      <c r="I390" s="113"/>
      <c r="J390" s="113"/>
      <c r="K390" s="113"/>
      <c r="L390" s="113"/>
      <c r="M390" s="113"/>
      <c r="N390" s="113"/>
      <c r="O390" s="113"/>
      <c r="P390" s="113"/>
      <c r="Q390" s="113"/>
    </row>
    <row r="391" spans="2:17" x14ac:dyDescent="0.25">
      <c r="B391" s="113"/>
      <c r="C391" s="113" t="s">
        <v>391</v>
      </c>
      <c r="D391" s="114">
        <f>PI()*J388^2/4</f>
        <v>1.1309733552923256</v>
      </c>
      <c r="E391" s="113"/>
      <c r="F391" s="113"/>
      <c r="G391" s="113"/>
      <c r="H391" s="113"/>
      <c r="I391" s="113"/>
      <c r="J391" s="113"/>
      <c r="K391" s="113"/>
      <c r="L391" s="113"/>
      <c r="M391" s="113"/>
      <c r="N391" s="113"/>
      <c r="O391" s="113"/>
      <c r="P391" s="113"/>
      <c r="Q391" s="113"/>
    </row>
    <row r="392" spans="2:17" x14ac:dyDescent="0.25">
      <c r="B392" s="113"/>
      <c r="C392" s="113" t="s">
        <v>185</v>
      </c>
      <c r="D392" s="123">
        <f>J388</f>
        <v>1.2</v>
      </c>
      <c r="E392" s="113"/>
      <c r="F392" s="113"/>
      <c r="G392" s="113"/>
      <c r="H392" s="113"/>
      <c r="I392" s="113"/>
      <c r="J392" s="113"/>
      <c r="K392" s="113"/>
      <c r="L392" s="113"/>
      <c r="M392" s="113"/>
      <c r="N392" s="113"/>
      <c r="O392" s="113"/>
      <c r="P392" s="113"/>
      <c r="Q392" s="113"/>
    </row>
    <row r="393" spans="2:17" x14ac:dyDescent="0.25">
      <c r="B393" s="113"/>
      <c r="C393" s="113"/>
      <c r="D393" s="113"/>
      <c r="E393" s="113"/>
      <c r="F393" s="113"/>
      <c r="G393" s="113"/>
      <c r="H393" s="113"/>
      <c r="I393" s="113"/>
      <c r="J393" s="113"/>
      <c r="K393" s="113"/>
      <c r="L393" s="113"/>
      <c r="M393" s="113"/>
      <c r="N393" s="113"/>
      <c r="O393" s="113"/>
      <c r="P393" s="113"/>
      <c r="Q393" s="113"/>
    </row>
    <row r="394" spans="2:17" ht="14.4" x14ac:dyDescent="0.3">
      <c r="B394" s="113"/>
      <c r="C394" s="113" t="s">
        <v>392</v>
      </c>
      <c r="D394" s="123">
        <f>D391*(0.5*D392*G387*D390+J389*D389)</f>
        <v>5229.6207948717138</v>
      </c>
      <c r="E394" s="113"/>
      <c r="F394" s="113"/>
      <c r="G394" s="120"/>
      <c r="H394" s="126"/>
      <c r="I394" s="113"/>
      <c r="J394" s="113"/>
      <c r="K394" s="113"/>
      <c r="L394" s="113"/>
      <c r="M394" s="113"/>
      <c r="N394" s="113"/>
      <c r="O394" s="113"/>
      <c r="P394" s="113"/>
      <c r="Q394" s="113"/>
    </row>
    <row r="395" spans="2:17" ht="14.4" x14ac:dyDescent="0.3">
      <c r="B395" s="113"/>
      <c r="C395" s="113"/>
      <c r="D395" s="113"/>
      <c r="E395" s="120" t="s">
        <v>393</v>
      </c>
      <c r="F395" s="122">
        <f>D394</f>
        <v>5229.6207948717138</v>
      </c>
      <c r="G395" s="113" t="s">
        <v>177</v>
      </c>
      <c r="H395" s="113"/>
      <c r="I395" s="113"/>
      <c r="J395" s="113"/>
      <c r="K395" s="113"/>
      <c r="L395" s="113"/>
      <c r="M395" s="113"/>
      <c r="N395" s="113"/>
      <c r="O395" s="113"/>
      <c r="P395" s="113"/>
      <c r="Q395" s="113"/>
    </row>
    <row r="396" spans="2:17" x14ac:dyDescent="0.25">
      <c r="B396" s="113"/>
      <c r="C396" s="113"/>
      <c r="D396" s="113" t="s">
        <v>376</v>
      </c>
      <c r="E396" s="113">
        <v>2.5</v>
      </c>
      <c r="F396" s="122">
        <f>F395/E396</f>
        <v>2091.8483179486857</v>
      </c>
      <c r="G396" s="113" t="s">
        <v>177</v>
      </c>
      <c r="H396" s="113"/>
      <c r="I396" s="113"/>
      <c r="J396" s="113"/>
      <c r="K396" s="113"/>
      <c r="L396" s="113"/>
      <c r="M396" s="113"/>
      <c r="N396" s="113"/>
      <c r="O396" s="113"/>
      <c r="P396" s="113"/>
      <c r="Q396" s="113"/>
    </row>
    <row r="397" spans="2:17" x14ac:dyDescent="0.25">
      <c r="B397" s="113"/>
      <c r="C397" s="113"/>
      <c r="D397" s="113"/>
      <c r="E397" s="113"/>
      <c r="F397" s="113"/>
      <c r="G397" s="113"/>
      <c r="H397" s="113"/>
      <c r="I397" s="113"/>
      <c r="J397" s="113"/>
      <c r="K397" s="113"/>
      <c r="L397" s="113"/>
      <c r="M397" s="113"/>
      <c r="N397" s="113"/>
      <c r="O397" s="113"/>
      <c r="P397" s="113"/>
      <c r="Q397" s="113"/>
    </row>
    <row r="398" spans="2:17" x14ac:dyDescent="0.25">
      <c r="B398" s="113"/>
      <c r="C398" s="113"/>
      <c r="D398" s="113"/>
      <c r="E398" s="127" t="s">
        <v>394</v>
      </c>
      <c r="F398" s="122">
        <f ca="1">F396+F381</f>
        <v>2902.1163705648191</v>
      </c>
      <c r="G398" s="128" t="s">
        <v>177</v>
      </c>
      <c r="H398" s="129" t="str">
        <f ca="1">IF(F398&gt;F282,"OK","NOT OK")</f>
        <v>OK</v>
      </c>
      <c r="I398" s="113"/>
      <c r="J398" s="113"/>
      <c r="K398" s="113"/>
      <c r="L398" s="113"/>
      <c r="M398" s="113"/>
      <c r="N398" s="113"/>
      <c r="O398" s="113"/>
      <c r="P398" s="113"/>
      <c r="Q398" s="113"/>
    </row>
    <row r="399" spans="2:17" x14ac:dyDescent="0.25">
      <c r="B399" s="113"/>
      <c r="C399" s="113"/>
      <c r="D399" s="113"/>
      <c r="E399" s="113"/>
      <c r="F399" s="113"/>
      <c r="G399" s="113"/>
      <c r="H399" s="113"/>
      <c r="I399" s="113"/>
      <c r="J399" s="113"/>
      <c r="K399" s="113"/>
      <c r="L399" s="113"/>
      <c r="M399" s="113"/>
      <c r="N399" s="113"/>
      <c r="O399" s="113"/>
      <c r="P399" s="113"/>
      <c r="Q399" s="113"/>
    </row>
    <row r="402" spans="2:13" ht="15.6" x14ac:dyDescent="0.3">
      <c r="F402" s="244" t="s">
        <v>463</v>
      </c>
      <c r="G402" s="244"/>
      <c r="H402" s="244"/>
      <c r="I402" s="244"/>
    </row>
    <row r="404" spans="2:13" x14ac:dyDescent="0.25">
      <c r="C404" s="79"/>
      <c r="D404" s="258" t="s">
        <v>465</v>
      </c>
      <c r="E404" s="258"/>
      <c r="F404" s="258"/>
      <c r="J404" s="79"/>
      <c r="K404" s="258" t="s">
        <v>466</v>
      </c>
      <c r="L404" s="258"/>
      <c r="M404" s="258"/>
    </row>
    <row r="405" spans="2:13" ht="27.6" x14ac:dyDescent="0.25">
      <c r="B405" s="59"/>
      <c r="C405" s="59"/>
      <c r="D405" s="256" t="s">
        <v>149</v>
      </c>
      <c r="E405" s="257"/>
      <c r="F405" s="131" t="s">
        <v>150</v>
      </c>
      <c r="I405" s="59"/>
      <c r="J405" s="59"/>
      <c r="K405" s="256" t="s">
        <v>149</v>
      </c>
      <c r="L405" s="257"/>
      <c r="M405" s="131" t="s">
        <v>150</v>
      </c>
    </row>
    <row r="406" spans="2:13" x14ac:dyDescent="0.25">
      <c r="B406" s="59"/>
      <c r="C406" s="59"/>
      <c r="D406" s="81" t="s">
        <v>152</v>
      </c>
      <c r="E406" s="81" t="s">
        <v>153</v>
      </c>
      <c r="F406" s="131"/>
      <c r="I406" s="59"/>
      <c r="J406" s="59"/>
      <c r="K406" s="81" t="s">
        <v>152</v>
      </c>
      <c r="L406" s="81" t="s">
        <v>153</v>
      </c>
      <c r="M406" s="131"/>
    </row>
    <row r="407" spans="2:13" ht="13.8" customHeight="1" x14ac:dyDescent="0.25">
      <c r="B407" s="59"/>
      <c r="C407" s="63" t="s">
        <v>156</v>
      </c>
      <c r="D407" s="82">
        <f>F167*N167</f>
        <v>2590.5453750000001</v>
      </c>
      <c r="E407" s="82">
        <f>G167*N167</f>
        <v>0</v>
      </c>
      <c r="F407" s="82">
        <f>H167*N167</f>
        <v>-135.63989999999993</v>
      </c>
      <c r="I407" s="59"/>
      <c r="J407" s="63" t="s">
        <v>156</v>
      </c>
      <c r="K407" s="82">
        <f>F167*O167</f>
        <v>2590.5453750000001</v>
      </c>
      <c r="L407" s="82">
        <f>G167*O167</f>
        <v>0</v>
      </c>
      <c r="M407" s="82">
        <f>H167*O167</f>
        <v>-135.63989999999993</v>
      </c>
    </row>
    <row r="408" spans="2:13" x14ac:dyDescent="0.25">
      <c r="B408" s="59"/>
      <c r="C408" s="63" t="s">
        <v>157</v>
      </c>
      <c r="D408" s="82">
        <f t="shared" ref="D408:D413" si="38">F168*N168</f>
        <v>3042.1257750000004</v>
      </c>
      <c r="E408" s="82">
        <f t="shared" ref="E408:E417" si="39">G168*N168</f>
        <v>0</v>
      </c>
      <c r="F408" s="82">
        <f t="shared" ref="F408:F417" si="40">H168*N168</f>
        <v>0</v>
      </c>
      <c r="I408" s="59"/>
      <c r="J408" s="63" t="s">
        <v>157</v>
      </c>
      <c r="K408" s="82">
        <f t="shared" ref="K408:K417" si="41">F168*O168</f>
        <v>3042.1257750000004</v>
      </c>
      <c r="L408" s="82">
        <f t="shared" ref="L408:L417" si="42">G168*O168</f>
        <v>0</v>
      </c>
      <c r="M408" s="82">
        <f t="shared" ref="M408:M417" si="43">H168*O168</f>
        <v>0</v>
      </c>
    </row>
    <row r="409" spans="2:13" x14ac:dyDescent="0.25">
      <c r="B409" s="59"/>
      <c r="C409" s="63" t="s">
        <v>158</v>
      </c>
      <c r="D409" s="82">
        <f t="shared" si="38"/>
        <v>433.125</v>
      </c>
      <c r="E409" s="82">
        <f t="shared" si="39"/>
        <v>0</v>
      </c>
      <c r="F409" s="82">
        <f t="shared" si="40"/>
        <v>0</v>
      </c>
      <c r="I409" s="59"/>
      <c r="J409" s="63" t="s">
        <v>158</v>
      </c>
      <c r="K409" s="82">
        <f t="shared" si="41"/>
        <v>433.125</v>
      </c>
      <c r="L409" s="82">
        <f t="shared" si="42"/>
        <v>0</v>
      </c>
      <c r="M409" s="82">
        <f t="shared" si="43"/>
        <v>0</v>
      </c>
    </row>
    <row r="410" spans="2:13" x14ac:dyDescent="0.25">
      <c r="B410" s="59"/>
      <c r="C410" s="63" t="s">
        <v>159</v>
      </c>
      <c r="D410" s="82">
        <f t="shared" si="38"/>
        <v>1338.873</v>
      </c>
      <c r="E410" s="82">
        <f t="shared" si="39"/>
        <v>0</v>
      </c>
      <c r="F410" s="82">
        <f t="shared" si="40"/>
        <v>0</v>
      </c>
      <c r="I410" s="59"/>
      <c r="J410" s="63" t="s">
        <v>159</v>
      </c>
      <c r="K410" s="82">
        <f t="shared" si="41"/>
        <v>0</v>
      </c>
      <c r="L410" s="82">
        <f t="shared" si="42"/>
        <v>0</v>
      </c>
      <c r="M410" s="82">
        <f t="shared" si="43"/>
        <v>0</v>
      </c>
    </row>
    <row r="411" spans="2:13" x14ac:dyDescent="0.25">
      <c r="B411" s="59"/>
      <c r="C411" s="63" t="s">
        <v>160</v>
      </c>
      <c r="D411" s="82">
        <f t="shared" si="38"/>
        <v>0</v>
      </c>
      <c r="E411" s="82">
        <f t="shared" si="39"/>
        <v>1926.6920212114283</v>
      </c>
      <c r="F411" s="82">
        <f t="shared" si="40"/>
        <v>9286.2702038348416</v>
      </c>
      <c r="I411" s="59"/>
      <c r="J411" s="63" t="s">
        <v>160</v>
      </c>
      <c r="K411" s="82">
        <f t="shared" si="41"/>
        <v>0</v>
      </c>
      <c r="L411" s="82">
        <f t="shared" si="42"/>
        <v>1284.4613474742855</v>
      </c>
      <c r="M411" s="82">
        <f t="shared" si="43"/>
        <v>6190.8468025565608</v>
      </c>
    </row>
    <row r="412" spans="2:13" x14ac:dyDescent="0.25">
      <c r="B412" s="59"/>
      <c r="C412" s="63" t="s">
        <v>161</v>
      </c>
      <c r="D412" s="82">
        <f t="shared" si="38"/>
        <v>532.04131046786961</v>
      </c>
      <c r="E412" s="82">
        <f t="shared" si="39"/>
        <v>0</v>
      </c>
      <c r="F412" s="82">
        <f t="shared" si="40"/>
        <v>-319.22478628072173</v>
      </c>
      <c r="I412" s="59"/>
      <c r="J412" s="63" t="s">
        <v>161</v>
      </c>
      <c r="K412" s="82">
        <f t="shared" si="41"/>
        <v>532.04131046786961</v>
      </c>
      <c r="L412" s="82">
        <f t="shared" si="42"/>
        <v>0</v>
      </c>
      <c r="M412" s="82">
        <f t="shared" si="43"/>
        <v>-319.22478628072173</v>
      </c>
    </row>
    <row r="413" spans="2:13" x14ac:dyDescent="0.25">
      <c r="B413" s="59"/>
      <c r="C413" s="63" t="s">
        <v>162</v>
      </c>
      <c r="D413" s="82">
        <f t="shared" si="38"/>
        <v>0</v>
      </c>
      <c r="E413" s="82">
        <f t="shared" si="39"/>
        <v>556.88983573848225</v>
      </c>
      <c r="F413" s="82">
        <f t="shared" si="40"/>
        <v>3087.9541391698845</v>
      </c>
      <c r="I413" s="59"/>
      <c r="J413" s="63" t="s">
        <v>162</v>
      </c>
      <c r="K413" s="82">
        <f t="shared" si="41"/>
        <v>0</v>
      </c>
      <c r="L413" s="82">
        <f t="shared" si="42"/>
        <v>0</v>
      </c>
      <c r="M413" s="82">
        <f t="shared" si="43"/>
        <v>0</v>
      </c>
    </row>
    <row r="414" spans="2:13" x14ac:dyDescent="0.25">
      <c r="B414" s="59"/>
      <c r="C414" s="63"/>
      <c r="D414" s="82"/>
      <c r="E414" s="82">
        <f t="shared" si="39"/>
        <v>0</v>
      </c>
      <c r="F414" s="82">
        <f t="shared" si="40"/>
        <v>0</v>
      </c>
      <c r="I414" s="59"/>
      <c r="J414" s="63"/>
      <c r="K414" s="82">
        <f t="shared" si="41"/>
        <v>0</v>
      </c>
      <c r="L414" s="82">
        <f t="shared" si="42"/>
        <v>0</v>
      </c>
      <c r="M414" s="82">
        <f t="shared" si="43"/>
        <v>0</v>
      </c>
    </row>
    <row r="415" spans="2:13" x14ac:dyDescent="0.25">
      <c r="B415" s="63" t="s">
        <v>163</v>
      </c>
      <c r="C415" s="63" t="s">
        <v>401</v>
      </c>
      <c r="D415" s="82">
        <f>F175*N175</f>
        <v>0</v>
      </c>
      <c r="E415" s="82">
        <f t="shared" si="39"/>
        <v>300</v>
      </c>
      <c r="F415" s="82">
        <f t="shared" si="40"/>
        <v>2097</v>
      </c>
      <c r="I415" s="63" t="s">
        <v>163</v>
      </c>
      <c r="J415" s="63" t="s">
        <v>401</v>
      </c>
      <c r="K415" s="82">
        <f t="shared" si="41"/>
        <v>0</v>
      </c>
      <c r="L415" s="82">
        <f t="shared" si="42"/>
        <v>0</v>
      </c>
      <c r="M415" s="82">
        <f t="shared" si="43"/>
        <v>0</v>
      </c>
    </row>
    <row r="416" spans="2:13" x14ac:dyDescent="0.25">
      <c r="B416" s="59"/>
      <c r="C416" s="63" t="s">
        <v>402</v>
      </c>
      <c r="D416" s="82">
        <f t="shared" ref="D416:D417" si="44">F176*N176</f>
        <v>12</v>
      </c>
      <c r="E416" s="82">
        <f t="shared" si="39"/>
        <v>0</v>
      </c>
      <c r="F416" s="82">
        <f t="shared" si="40"/>
        <v>0</v>
      </c>
      <c r="I416" s="59"/>
      <c r="J416" s="63" t="s">
        <v>402</v>
      </c>
      <c r="K416" s="82">
        <f t="shared" si="41"/>
        <v>0</v>
      </c>
      <c r="L416" s="82">
        <f t="shared" si="42"/>
        <v>0</v>
      </c>
      <c r="M416" s="82">
        <f t="shared" si="43"/>
        <v>0</v>
      </c>
    </row>
    <row r="417" spans="2:13" x14ac:dyDescent="0.25">
      <c r="B417" s="59"/>
      <c r="C417" s="63" t="s">
        <v>164</v>
      </c>
      <c r="D417" s="82">
        <f t="shared" si="44"/>
        <v>0</v>
      </c>
      <c r="E417" s="82">
        <f t="shared" si="39"/>
        <v>71.871679687499991</v>
      </c>
      <c r="F417" s="82">
        <f t="shared" si="40"/>
        <v>496.99266503906239</v>
      </c>
      <c r="I417" s="59"/>
      <c r="J417" s="63" t="s">
        <v>164</v>
      </c>
      <c r="K417" s="82">
        <f t="shared" si="41"/>
        <v>0</v>
      </c>
      <c r="L417" s="82">
        <f t="shared" si="42"/>
        <v>39.928710937499993</v>
      </c>
      <c r="M417" s="82">
        <f t="shared" si="43"/>
        <v>276.10703613281242</v>
      </c>
    </row>
    <row r="418" spans="2:13" x14ac:dyDescent="0.25">
      <c r="B418" s="59"/>
      <c r="C418" s="59"/>
      <c r="D418" s="139" t="s">
        <v>165</v>
      </c>
      <c r="E418" s="139"/>
      <c r="F418" s="139"/>
      <c r="I418" s="59"/>
      <c r="J418" s="59"/>
      <c r="K418" s="139" t="s">
        <v>165</v>
      </c>
      <c r="L418" s="139"/>
      <c r="M418" s="139"/>
    </row>
    <row r="419" spans="2:13" x14ac:dyDescent="0.25">
      <c r="B419" s="59"/>
      <c r="C419" s="63" t="s">
        <v>166</v>
      </c>
      <c r="D419" s="82"/>
      <c r="E419" s="82">
        <f>G179*N179</f>
        <v>0</v>
      </c>
      <c r="F419" s="82">
        <f>H179*N179</f>
        <v>0</v>
      </c>
      <c r="I419" s="59"/>
      <c r="J419" s="63" t="s">
        <v>166</v>
      </c>
      <c r="K419" s="82"/>
      <c r="L419" s="82">
        <f>G179*O179</f>
        <v>562.7084625</v>
      </c>
      <c r="M419" s="82">
        <f>H179*O179</f>
        <v>4753.9486606875007</v>
      </c>
    </row>
    <row r="420" spans="2:13" x14ac:dyDescent="0.25">
      <c r="B420" s="59"/>
      <c r="C420" s="63" t="s">
        <v>167</v>
      </c>
      <c r="D420" s="82"/>
      <c r="E420" s="82">
        <f t="shared" ref="E420:E422" si="45">G180*N180</f>
        <v>0</v>
      </c>
      <c r="F420" s="82">
        <f t="shared" ref="F420:F422" si="46">H180*N180</f>
        <v>0</v>
      </c>
      <c r="I420" s="59"/>
      <c r="J420" s="63" t="s">
        <v>167</v>
      </c>
      <c r="K420" s="82"/>
      <c r="L420" s="82">
        <f t="shared" ref="L420:L422" si="47">G180*O180</f>
        <v>431.75756249999995</v>
      </c>
      <c r="M420" s="82">
        <f t="shared" ref="M420:M422" si="48">H180*O180</f>
        <v>0</v>
      </c>
    </row>
    <row r="421" spans="2:13" x14ac:dyDescent="0.25">
      <c r="B421" s="59"/>
      <c r="C421" s="63" t="s">
        <v>168</v>
      </c>
      <c r="D421" s="82"/>
      <c r="E421" s="82">
        <f t="shared" si="45"/>
        <v>0</v>
      </c>
      <c r="F421" s="82">
        <f t="shared" si="46"/>
        <v>0</v>
      </c>
      <c r="I421" s="59"/>
      <c r="J421" s="63" t="s">
        <v>168</v>
      </c>
      <c r="K421" s="82"/>
      <c r="L421" s="82">
        <f t="shared" si="47"/>
        <v>1248.7829425221591</v>
      </c>
      <c r="M421" s="82">
        <f t="shared" si="48"/>
        <v>6737.1839749070487</v>
      </c>
    </row>
    <row r="422" spans="2:13" x14ac:dyDescent="0.25">
      <c r="B422" s="59"/>
      <c r="C422" s="63" t="s">
        <v>169</v>
      </c>
      <c r="D422" s="82"/>
      <c r="E422" s="82">
        <f t="shared" si="45"/>
        <v>0</v>
      </c>
      <c r="F422" s="82">
        <f t="shared" si="46"/>
        <v>0</v>
      </c>
      <c r="I422" s="59"/>
      <c r="J422" s="63" t="s">
        <v>169</v>
      </c>
      <c r="K422" s="82"/>
      <c r="L422" s="82">
        <f t="shared" si="47"/>
        <v>416.83992518124921</v>
      </c>
      <c r="M422" s="82">
        <f t="shared" si="48"/>
        <v>2311.3773851300266</v>
      </c>
    </row>
    <row r="423" spans="2:13" x14ac:dyDescent="0.25">
      <c r="D423" s="68">
        <f>SUM(D407:D417)+SUM(D419:D422)</f>
        <v>7948.7104604678698</v>
      </c>
      <c r="E423" s="68">
        <f>SUM(E407:E417)+SUM(E419:E422)</f>
        <v>2855.4535366374107</v>
      </c>
      <c r="F423" s="68">
        <f>SUM(F407:F417)+SUM(F419:F422)</f>
        <v>14513.352321763066</v>
      </c>
      <c r="K423" s="68">
        <f>SUM(K407:K417)+SUM(K419:K422)</f>
        <v>6597.8374604678702</v>
      </c>
      <c r="L423" s="68">
        <f>SUM(L407:L417)+SUM(L419:L422)</f>
        <v>3984.4789511151939</v>
      </c>
      <c r="M423" s="68">
        <f>SUM(M407:M417)+SUM(M419:M422)</f>
        <v>19814.599173133225</v>
      </c>
    </row>
    <row r="427" spans="2:13" x14ac:dyDescent="0.25">
      <c r="D427" s="245" t="s">
        <v>403</v>
      </c>
      <c r="E427" s="245"/>
      <c r="F427" s="245"/>
      <c r="G427" s="245"/>
      <c r="M427" t="s">
        <v>471</v>
      </c>
    </row>
    <row r="428" spans="2:13" x14ac:dyDescent="0.25">
      <c r="D428" s="66"/>
      <c r="E428" s="66"/>
      <c r="F428" s="66"/>
      <c r="I428" s="217" t="s">
        <v>313</v>
      </c>
      <c r="J428" s="217"/>
      <c r="K428" s="57">
        <f>N217</f>
        <v>4924.8</v>
      </c>
      <c r="L428" t="s">
        <v>81</v>
      </c>
      <c r="M428">
        <v>1.35</v>
      </c>
    </row>
    <row r="429" spans="2:13" x14ac:dyDescent="0.25">
      <c r="D429" s="66"/>
      <c r="E429" s="66" t="s">
        <v>468</v>
      </c>
      <c r="F429" s="66" t="s">
        <v>469</v>
      </c>
      <c r="I429" s="217" t="s">
        <v>314</v>
      </c>
      <c r="J429" s="217"/>
      <c r="K429" s="57">
        <f>N218</f>
        <v>5852.7871136377844</v>
      </c>
      <c r="L429" t="s">
        <v>81</v>
      </c>
      <c r="M429">
        <v>1.35</v>
      </c>
    </row>
    <row r="430" spans="2:13" x14ac:dyDescent="0.25">
      <c r="D430" s="66" t="s">
        <v>405</v>
      </c>
      <c r="E430" s="169">
        <f>D423</f>
        <v>7948.7104604678698</v>
      </c>
      <c r="F430" s="169">
        <f>K423</f>
        <v>6597.8374604678702</v>
      </c>
    </row>
    <row r="431" spans="2:13" x14ac:dyDescent="0.25">
      <c r="D431" s="66" t="s">
        <v>404</v>
      </c>
      <c r="E431" s="169">
        <f>E423</f>
        <v>2855.4535366374107</v>
      </c>
      <c r="F431" s="169">
        <f>L423</f>
        <v>3984.4789511151939</v>
      </c>
    </row>
    <row r="432" spans="2:13" x14ac:dyDescent="0.25">
      <c r="D432" s="66" t="s">
        <v>362</v>
      </c>
      <c r="E432" s="169">
        <f>F423</f>
        <v>14513.352321763066</v>
      </c>
      <c r="F432" s="169">
        <f>M423</f>
        <v>19814.599173133225</v>
      </c>
      <c r="H432" s="217" t="s">
        <v>470</v>
      </c>
      <c r="I432" s="217"/>
      <c r="J432" s="217"/>
      <c r="K432" s="111">
        <f>K428*M428+K429*M429</f>
        <v>14549.74260341101</v>
      </c>
      <c r="L432" t="s">
        <v>81</v>
      </c>
    </row>
    <row r="433" spans="2:14" x14ac:dyDescent="0.25">
      <c r="H433" s="217" t="s">
        <v>323</v>
      </c>
      <c r="I433" s="217"/>
      <c r="J433" s="217"/>
      <c r="K433">
        <f>J217</f>
        <v>9</v>
      </c>
    </row>
    <row r="437" spans="2:14" x14ac:dyDescent="0.25">
      <c r="C437" s="217" t="s">
        <v>154</v>
      </c>
      <c r="D437" s="217"/>
      <c r="J437" s="217" t="s">
        <v>155</v>
      </c>
      <c r="K437" s="217"/>
    </row>
    <row r="438" spans="2:14" x14ac:dyDescent="0.25">
      <c r="B438" s="66" t="s">
        <v>325</v>
      </c>
      <c r="C438" s="66" t="s">
        <v>326</v>
      </c>
      <c r="D438" s="66" t="s">
        <v>277</v>
      </c>
      <c r="E438" s="66" t="s">
        <v>327</v>
      </c>
      <c r="I438" s="66" t="s">
        <v>325</v>
      </c>
      <c r="J438" s="66" t="s">
        <v>326</v>
      </c>
      <c r="K438" s="66" t="s">
        <v>277</v>
      </c>
      <c r="L438" s="66" t="s">
        <v>327</v>
      </c>
    </row>
    <row r="439" spans="2:14" x14ac:dyDescent="0.25">
      <c r="B439" s="138">
        <f>($E$430+$K$432)/$K$433</f>
        <v>2499.8281182087644</v>
      </c>
      <c r="C439" s="138">
        <f>$E$431/$K$433</f>
        <v>317.2726151819345</v>
      </c>
      <c r="D439" s="138">
        <f>$E$432/$I$260*$G251</f>
        <v>575.92667943504227</v>
      </c>
      <c r="E439" s="138">
        <f>B439+D439</f>
        <v>3075.7547976438068</v>
      </c>
      <c r="I439" s="138">
        <f>($F$430+$K$432)/$K$433</f>
        <v>2349.7311182087642</v>
      </c>
      <c r="J439" s="138">
        <f>$F$431/$K$433</f>
        <v>442.71988345724378</v>
      </c>
      <c r="K439" s="138">
        <f>$F$432/$I$260*$G251</f>
        <v>786.29361798147715</v>
      </c>
      <c r="L439" s="138">
        <f>I439+K439</f>
        <v>3136.0247361902411</v>
      </c>
    </row>
    <row r="440" spans="2:14" x14ac:dyDescent="0.25">
      <c r="B440" s="138">
        <f t="shared" ref="B440:B447" si="49">($E$430+$K$432)/$K$433</f>
        <v>2499.8281182087644</v>
      </c>
      <c r="C440" s="138">
        <f t="shared" ref="C440:C447" si="50">$E$431/$K$433</f>
        <v>317.2726151819345</v>
      </c>
      <c r="D440" s="138">
        <f t="shared" ref="D440:D447" si="51">$E$432/$I$260*$G252</f>
        <v>575.92667943504227</v>
      </c>
      <c r="E440" s="138">
        <f t="shared" ref="E440:E447" si="52">B440+D440</f>
        <v>3075.7547976438068</v>
      </c>
      <c r="I440" s="138">
        <f t="shared" ref="I440:I447" si="53">($F$430+$K$432)/$K$433</f>
        <v>2349.7311182087642</v>
      </c>
      <c r="J440" s="138">
        <f t="shared" ref="J440:J447" si="54">$F$431/$K$433</f>
        <v>442.71988345724378</v>
      </c>
      <c r="K440" s="138">
        <f t="shared" ref="K440:K447" si="55">$F$432/$I$260*$G252</f>
        <v>786.29361798147715</v>
      </c>
      <c r="L440" s="138">
        <f t="shared" ref="L440:L447" si="56">I440+K440</f>
        <v>3136.0247361902411</v>
      </c>
      <c r="N440" s="70">
        <f>E441+E444+E447</f>
        <v>7499.4843546262928</v>
      </c>
    </row>
    <row r="441" spans="2:14" x14ac:dyDescent="0.25">
      <c r="B441" s="138">
        <f t="shared" si="49"/>
        <v>2499.8281182087644</v>
      </c>
      <c r="C441" s="138">
        <f t="shared" si="50"/>
        <v>317.2726151819345</v>
      </c>
      <c r="D441" s="138">
        <f t="shared" si="51"/>
        <v>575.92667943504227</v>
      </c>
      <c r="E441" s="138">
        <f t="shared" si="52"/>
        <v>3075.7547976438068</v>
      </c>
      <c r="I441" s="138">
        <f t="shared" si="53"/>
        <v>2349.7311182087642</v>
      </c>
      <c r="J441" s="138">
        <f t="shared" si="54"/>
        <v>442.71988345724378</v>
      </c>
      <c r="K441" s="138">
        <f t="shared" si="55"/>
        <v>786.29361798147715</v>
      </c>
      <c r="L441" s="138">
        <f t="shared" si="56"/>
        <v>3136.0247361902411</v>
      </c>
      <c r="N441" s="70">
        <f>L441+L444+L447</f>
        <v>7049.1933546262926</v>
      </c>
    </row>
    <row r="442" spans="2:14" x14ac:dyDescent="0.25">
      <c r="B442" s="138">
        <f t="shared" si="49"/>
        <v>2499.8281182087644</v>
      </c>
      <c r="C442" s="138">
        <f t="shared" si="50"/>
        <v>317.2726151819345</v>
      </c>
      <c r="D442" s="138">
        <f t="shared" si="51"/>
        <v>0</v>
      </c>
      <c r="E442" s="138">
        <f t="shared" si="52"/>
        <v>2499.8281182087644</v>
      </c>
      <c r="I442" s="138">
        <f t="shared" si="53"/>
        <v>2349.7311182087642</v>
      </c>
      <c r="J442" s="138">
        <f t="shared" si="54"/>
        <v>442.71988345724378</v>
      </c>
      <c r="K442" s="138">
        <f t="shared" si="55"/>
        <v>0</v>
      </c>
      <c r="L442" s="138">
        <f t="shared" si="56"/>
        <v>2349.7311182087642</v>
      </c>
    </row>
    <row r="443" spans="2:14" x14ac:dyDescent="0.25">
      <c r="B443" s="138">
        <f t="shared" si="49"/>
        <v>2499.8281182087644</v>
      </c>
      <c r="C443" s="138">
        <f t="shared" si="50"/>
        <v>317.2726151819345</v>
      </c>
      <c r="D443" s="138">
        <f t="shared" si="51"/>
        <v>0</v>
      </c>
      <c r="E443" s="138">
        <f t="shared" si="52"/>
        <v>2499.8281182087644</v>
      </c>
      <c r="I443" s="138">
        <f t="shared" si="53"/>
        <v>2349.7311182087642</v>
      </c>
      <c r="J443" s="138">
        <f t="shared" si="54"/>
        <v>442.71988345724378</v>
      </c>
      <c r="K443" s="138">
        <f t="shared" si="55"/>
        <v>0</v>
      </c>
      <c r="L443" s="138">
        <f t="shared" si="56"/>
        <v>2349.7311182087642</v>
      </c>
    </row>
    <row r="444" spans="2:14" x14ac:dyDescent="0.25">
      <c r="B444" s="138">
        <f t="shared" si="49"/>
        <v>2499.8281182087644</v>
      </c>
      <c r="C444" s="138">
        <f t="shared" si="50"/>
        <v>317.2726151819345</v>
      </c>
      <c r="D444" s="138">
        <f t="shared" si="51"/>
        <v>0</v>
      </c>
      <c r="E444" s="138">
        <f t="shared" si="52"/>
        <v>2499.8281182087644</v>
      </c>
      <c r="I444" s="138">
        <f t="shared" si="53"/>
        <v>2349.7311182087642</v>
      </c>
      <c r="J444" s="138">
        <f t="shared" si="54"/>
        <v>442.71988345724378</v>
      </c>
      <c r="K444" s="138">
        <f t="shared" si="55"/>
        <v>0</v>
      </c>
      <c r="L444" s="138">
        <f t="shared" si="56"/>
        <v>2349.7311182087642</v>
      </c>
    </row>
    <row r="445" spans="2:14" x14ac:dyDescent="0.25">
      <c r="B445" s="138">
        <f t="shared" si="49"/>
        <v>2499.8281182087644</v>
      </c>
      <c r="C445" s="138">
        <f t="shared" si="50"/>
        <v>317.2726151819345</v>
      </c>
      <c r="D445" s="138">
        <f t="shared" si="51"/>
        <v>-575.92667943504227</v>
      </c>
      <c r="E445" s="138">
        <f t="shared" si="52"/>
        <v>1923.901438773722</v>
      </c>
      <c r="I445" s="138">
        <f t="shared" si="53"/>
        <v>2349.7311182087642</v>
      </c>
      <c r="J445" s="138">
        <f t="shared" si="54"/>
        <v>442.71988345724378</v>
      </c>
      <c r="K445" s="138">
        <f t="shared" si="55"/>
        <v>-786.29361798147715</v>
      </c>
      <c r="L445" s="138">
        <f t="shared" si="56"/>
        <v>1563.437500227287</v>
      </c>
    </row>
    <row r="446" spans="2:14" x14ac:dyDescent="0.25">
      <c r="B446" s="138">
        <f t="shared" si="49"/>
        <v>2499.8281182087644</v>
      </c>
      <c r="C446" s="138">
        <f t="shared" si="50"/>
        <v>317.2726151819345</v>
      </c>
      <c r="D446" s="138">
        <f t="shared" si="51"/>
        <v>-575.92667943504227</v>
      </c>
      <c r="E446" s="138">
        <f t="shared" si="52"/>
        <v>1923.901438773722</v>
      </c>
      <c r="I446" s="138">
        <f t="shared" si="53"/>
        <v>2349.7311182087642</v>
      </c>
      <c r="J446" s="138">
        <f t="shared" si="54"/>
        <v>442.71988345724378</v>
      </c>
      <c r="K446" s="138">
        <f t="shared" si="55"/>
        <v>-786.29361798147715</v>
      </c>
      <c r="L446" s="138">
        <f t="shared" si="56"/>
        <v>1563.437500227287</v>
      </c>
    </row>
    <row r="447" spans="2:14" x14ac:dyDescent="0.25">
      <c r="B447" s="138">
        <f t="shared" si="49"/>
        <v>2499.8281182087644</v>
      </c>
      <c r="C447" s="138">
        <f t="shared" si="50"/>
        <v>317.2726151819345</v>
      </c>
      <c r="D447" s="138">
        <f t="shared" si="51"/>
        <v>-575.92667943504227</v>
      </c>
      <c r="E447" s="138">
        <f t="shared" si="52"/>
        <v>1923.901438773722</v>
      </c>
      <c r="I447" s="138">
        <f t="shared" si="53"/>
        <v>2349.7311182087642</v>
      </c>
      <c r="J447" s="138">
        <f t="shared" si="54"/>
        <v>442.71988345724378</v>
      </c>
      <c r="K447" s="138">
        <f t="shared" si="55"/>
        <v>-786.29361798147715</v>
      </c>
      <c r="L447" s="138">
        <f t="shared" si="56"/>
        <v>1563.437500227287</v>
      </c>
    </row>
    <row r="449" spans="1:13" x14ac:dyDescent="0.25">
      <c r="D449" t="s">
        <v>474</v>
      </c>
      <c r="E449" s="70">
        <f>MAX(E439:E447)</f>
        <v>3075.7547976438068</v>
      </c>
      <c r="K449" t="s">
        <v>475</v>
      </c>
      <c r="L449" s="70">
        <f>MAX(L439:L447)</f>
        <v>3136.0247361902411</v>
      </c>
    </row>
    <row r="451" spans="1:13" ht="15" x14ac:dyDescent="0.25">
      <c r="B451" s="253" t="s">
        <v>472</v>
      </c>
      <c r="C451" s="253"/>
      <c r="D451" s="253"/>
    </row>
    <row r="452" spans="1:13" x14ac:dyDescent="0.25">
      <c r="B452" s="217" t="s">
        <v>473</v>
      </c>
      <c r="C452" s="217"/>
      <c r="D452" s="70">
        <f>MAX(E449,L449)</f>
        <v>3136.0247361902411</v>
      </c>
    </row>
    <row r="453" spans="1:13" x14ac:dyDescent="0.25">
      <c r="B453" s="217" t="s">
        <v>401</v>
      </c>
      <c r="C453" s="217"/>
      <c r="D453" s="70">
        <f>MAX(C447,J447)</f>
        <v>442.71988345724378</v>
      </c>
    </row>
    <row r="454" spans="1:13" x14ac:dyDescent="0.25">
      <c r="B454" s="217" t="s">
        <v>476</v>
      </c>
      <c r="C454" s="217"/>
      <c r="D454" s="70">
        <f>D304+D308</f>
        <v>18.748702138894661</v>
      </c>
    </row>
    <row r="455" spans="1:13" x14ac:dyDescent="0.25">
      <c r="B455" s="217" t="s">
        <v>362</v>
      </c>
      <c r="C455" s="217"/>
      <c r="D455">
        <f>(D453*D454)/2</f>
        <v>4150.2116129530104</v>
      </c>
    </row>
    <row r="459" spans="1:13" x14ac:dyDescent="0.25">
      <c r="A459" s="113"/>
      <c r="B459" s="171" t="s">
        <v>479</v>
      </c>
      <c r="C459" s="171"/>
      <c r="D459" s="171"/>
      <c r="E459" s="113"/>
      <c r="F459" s="113"/>
      <c r="G459" s="113"/>
      <c r="H459" s="113"/>
      <c r="I459" s="113"/>
      <c r="J459" s="113"/>
      <c r="K459" s="113"/>
      <c r="L459" s="113"/>
      <c r="M459" s="113"/>
    </row>
    <row r="460" spans="1:13" x14ac:dyDescent="0.25">
      <c r="A460" s="113"/>
      <c r="B460" s="113"/>
      <c r="C460" s="124" t="s">
        <v>480</v>
      </c>
      <c r="D460" s="113">
        <f>D533</f>
        <v>32</v>
      </c>
      <c r="E460" s="113" t="s">
        <v>481</v>
      </c>
      <c r="F460" s="113">
        <f>D533</f>
        <v>32</v>
      </c>
      <c r="G460" s="113" t="s">
        <v>266</v>
      </c>
      <c r="H460" s="113"/>
      <c r="I460" s="113"/>
      <c r="J460" s="113">
        <v>0.26</v>
      </c>
      <c r="K460" s="113"/>
      <c r="L460" s="113"/>
      <c r="M460" s="113"/>
    </row>
    <row r="461" spans="1:13" x14ac:dyDescent="0.25">
      <c r="A461" s="113"/>
      <c r="B461" s="113"/>
      <c r="C461" s="124" t="s">
        <v>480</v>
      </c>
      <c r="D461" s="126">
        <f>(1000/F460)*PI()*D460^2/4</f>
        <v>25132.741228718343</v>
      </c>
      <c r="E461" s="113" t="s">
        <v>482</v>
      </c>
      <c r="F461" s="113">
        <f>D461/(1000*D465*1000)</f>
        <v>1.4783965428657848E-2</v>
      </c>
      <c r="G461" s="113" t="s">
        <v>483</v>
      </c>
      <c r="H461" s="113"/>
      <c r="I461" s="124" t="s">
        <v>484</v>
      </c>
      <c r="J461" s="125">
        <f>0.259*(D462)^0.667</f>
        <v>2.5034541450576864</v>
      </c>
      <c r="K461" s="113"/>
      <c r="L461" s="113"/>
      <c r="M461" s="113"/>
    </row>
    <row r="462" spans="1:13" x14ac:dyDescent="0.25">
      <c r="A462" s="113"/>
      <c r="B462" s="113"/>
      <c r="C462" s="124" t="s">
        <v>485</v>
      </c>
      <c r="D462" s="117">
        <f>G10</f>
        <v>30</v>
      </c>
      <c r="E462" s="113"/>
      <c r="F462" s="124"/>
      <c r="G462" s="113"/>
      <c r="H462" s="113"/>
      <c r="I462" s="124" t="s">
        <v>226</v>
      </c>
      <c r="J462" s="113">
        <v>500</v>
      </c>
      <c r="K462" s="113"/>
      <c r="L462" s="113"/>
      <c r="M462" s="113"/>
    </row>
    <row r="463" spans="1:13" x14ac:dyDescent="0.25">
      <c r="A463" s="113"/>
      <c r="B463" s="113"/>
      <c r="C463" s="113"/>
      <c r="D463" s="113"/>
      <c r="E463" s="113"/>
      <c r="F463" s="113"/>
      <c r="G463" s="113"/>
      <c r="H463" s="113"/>
      <c r="I463" s="113" t="s">
        <v>486</v>
      </c>
      <c r="J463" s="125">
        <f>J460*(J461/J462)</f>
        <v>1.301796155429997E-3</v>
      </c>
      <c r="K463" s="113"/>
      <c r="L463" s="113"/>
      <c r="M463" s="113"/>
    </row>
    <row r="464" spans="1:13" x14ac:dyDescent="0.25">
      <c r="A464" s="113"/>
      <c r="B464" s="113"/>
      <c r="C464" s="124" t="s">
        <v>487</v>
      </c>
      <c r="D464" s="113">
        <f>D217</f>
        <v>1.8</v>
      </c>
      <c r="E464" s="172" t="s">
        <v>488</v>
      </c>
      <c r="F464" s="173">
        <v>0.1</v>
      </c>
      <c r="G464" s="113"/>
      <c r="H464" s="113"/>
      <c r="I464" s="113" t="s">
        <v>486</v>
      </c>
      <c r="J464" s="125">
        <f>0.13/100</f>
        <v>1.2999999999999999E-3</v>
      </c>
      <c r="K464" s="113"/>
      <c r="L464" s="113"/>
      <c r="M464" s="113"/>
    </row>
    <row r="465" spans="1:13" x14ac:dyDescent="0.25">
      <c r="A465" s="113"/>
      <c r="B465" s="113"/>
      <c r="C465" s="124" t="s">
        <v>489</v>
      </c>
      <c r="D465" s="123">
        <f>D464-F464</f>
        <v>1.7</v>
      </c>
      <c r="E465" s="126" t="s">
        <v>19</v>
      </c>
      <c r="F465" s="252" t="s">
        <v>490</v>
      </c>
      <c r="G465" s="252"/>
      <c r="H465" s="126">
        <f>D452</f>
        <v>3136.0247361902411</v>
      </c>
      <c r="I465" s="113" t="s">
        <v>177</v>
      </c>
      <c r="J465" s="113"/>
      <c r="K465" s="113"/>
      <c r="L465" s="113"/>
      <c r="M465" s="113"/>
    </row>
    <row r="466" spans="1:13" x14ac:dyDescent="0.25">
      <c r="A466" s="113"/>
      <c r="B466" s="113"/>
      <c r="C466" s="124" t="s">
        <v>491</v>
      </c>
      <c r="D466" s="123">
        <f>C290</f>
        <v>1.2</v>
      </c>
      <c r="E466" s="113"/>
      <c r="F466" s="113"/>
      <c r="G466" s="113" t="s">
        <v>492</v>
      </c>
      <c r="H466" s="113"/>
      <c r="I466" s="123">
        <v>0.9</v>
      </c>
      <c r="J466" s="113" t="s">
        <v>19</v>
      </c>
      <c r="K466" s="113"/>
      <c r="L466" s="113"/>
      <c r="M466" s="113"/>
    </row>
    <row r="467" spans="1:13" x14ac:dyDescent="0.25">
      <c r="A467" s="113"/>
      <c r="B467" s="113"/>
      <c r="C467" s="124" t="s">
        <v>493</v>
      </c>
      <c r="D467" s="123">
        <f>D466</f>
        <v>1.2</v>
      </c>
      <c r="E467" s="113" t="s">
        <v>494</v>
      </c>
      <c r="F467" s="123"/>
      <c r="G467" s="126"/>
      <c r="H467" s="113"/>
      <c r="I467" s="113"/>
      <c r="J467" s="113"/>
      <c r="K467" s="113"/>
      <c r="L467" s="113"/>
      <c r="M467" s="113"/>
    </row>
    <row r="468" spans="1:13" x14ac:dyDescent="0.25">
      <c r="A468" s="113"/>
      <c r="B468" s="113"/>
      <c r="C468" s="113"/>
      <c r="D468" s="124" t="s">
        <v>495</v>
      </c>
      <c r="E468" s="123">
        <f>D466/2+2*D465</f>
        <v>4</v>
      </c>
      <c r="F468" s="123" t="s">
        <v>19</v>
      </c>
      <c r="G468" s="126"/>
      <c r="H468" s="113"/>
      <c r="I468" s="113"/>
      <c r="J468" s="113"/>
      <c r="K468" s="113"/>
      <c r="L468" s="113"/>
      <c r="M468" s="113"/>
    </row>
    <row r="469" spans="1:13" x14ac:dyDescent="0.25">
      <c r="A469" s="113"/>
      <c r="B469" s="251" t="s">
        <v>496</v>
      </c>
      <c r="C469" s="251"/>
      <c r="D469" s="251"/>
      <c r="E469" s="251"/>
      <c r="F469" s="123"/>
      <c r="G469" s="126"/>
      <c r="H469" s="113"/>
      <c r="I469" s="113"/>
      <c r="J469" s="113"/>
      <c r="K469" s="113"/>
      <c r="L469" s="113"/>
      <c r="M469" s="113"/>
    </row>
    <row r="470" spans="1:13" x14ac:dyDescent="0.25">
      <c r="A470" s="113"/>
      <c r="B470" s="171" t="s">
        <v>497</v>
      </c>
      <c r="C470" s="171"/>
      <c r="D470" s="124"/>
      <c r="E470" s="123"/>
      <c r="F470" s="123"/>
      <c r="G470" s="126"/>
      <c r="H470" s="113"/>
      <c r="I470" s="113"/>
      <c r="J470" s="113"/>
      <c r="K470" s="113"/>
      <c r="L470" s="113"/>
      <c r="M470" s="113"/>
    </row>
    <row r="471" spans="1:13" x14ac:dyDescent="0.25">
      <c r="A471" s="113"/>
      <c r="B471" s="113"/>
      <c r="C471" s="124" t="s">
        <v>498</v>
      </c>
      <c r="D471" s="114">
        <f>2*PI()*E468</f>
        <v>25.132741228718345</v>
      </c>
      <c r="E471" s="113" t="s">
        <v>19</v>
      </c>
      <c r="F471" s="113"/>
      <c r="G471" s="113"/>
      <c r="H471" s="113"/>
      <c r="I471" s="113"/>
      <c r="J471" s="113"/>
      <c r="K471" s="113"/>
      <c r="L471" s="113"/>
      <c r="M471" s="113"/>
    </row>
    <row r="472" spans="1:13" x14ac:dyDescent="0.25">
      <c r="A472" s="113"/>
      <c r="B472" s="113"/>
      <c r="C472" s="124" t="s">
        <v>499</v>
      </c>
      <c r="D472" s="114">
        <f>D452/D455</f>
        <v>0.75563008074155946</v>
      </c>
      <c r="E472" s="113" t="s">
        <v>19</v>
      </c>
      <c r="F472" s="113"/>
      <c r="G472" s="113"/>
      <c r="H472" s="113"/>
      <c r="I472" s="113"/>
      <c r="J472" s="113"/>
      <c r="K472" s="113"/>
      <c r="L472" s="113"/>
      <c r="M472" s="113"/>
    </row>
    <row r="473" spans="1:13" x14ac:dyDescent="0.25">
      <c r="A473" s="113"/>
      <c r="B473" s="113"/>
      <c r="C473" s="124" t="s">
        <v>500</v>
      </c>
      <c r="D473" s="114">
        <f>1+0.6*PI()*(D472/(D466+(4*D465)))</f>
        <v>1.178041143286686</v>
      </c>
      <c r="E473" s="113"/>
      <c r="F473" s="113"/>
      <c r="G473" s="113"/>
      <c r="H473" s="113"/>
      <c r="I473" s="113"/>
      <c r="J473" s="113"/>
      <c r="K473" s="113"/>
      <c r="L473" s="113"/>
      <c r="M473" s="113"/>
    </row>
    <row r="474" spans="1:13" x14ac:dyDescent="0.25">
      <c r="A474" s="113"/>
      <c r="B474" s="113"/>
      <c r="C474" s="124" t="s">
        <v>501</v>
      </c>
      <c r="D474" s="114">
        <f>D473*H465/D471*(D465)/1000</f>
        <v>0.24989007065963287</v>
      </c>
      <c r="E474" s="113" t="s">
        <v>200</v>
      </c>
      <c r="F474" s="124"/>
      <c r="G474" s="175"/>
      <c r="H474" s="113"/>
      <c r="I474" s="113"/>
      <c r="J474" s="113"/>
      <c r="K474" s="113"/>
      <c r="L474" s="113"/>
      <c r="M474" s="113"/>
    </row>
    <row r="475" spans="1:13" x14ac:dyDescent="0.25">
      <c r="A475" s="113"/>
      <c r="B475" s="113"/>
      <c r="C475" s="124" t="s">
        <v>239</v>
      </c>
      <c r="D475" s="123">
        <f>1+SQRT(200/D465/1000)</f>
        <v>1.3429971702850176</v>
      </c>
      <c r="E475" s="113" t="s">
        <v>502</v>
      </c>
      <c r="F475" s="113"/>
      <c r="G475" s="124"/>
      <c r="H475" s="113"/>
      <c r="I475" s="113"/>
      <c r="J475" s="113"/>
      <c r="K475" s="113"/>
      <c r="L475" s="113"/>
      <c r="M475" s="113"/>
    </row>
    <row r="476" spans="1:13" x14ac:dyDescent="0.25">
      <c r="A476" s="113"/>
      <c r="B476" s="113"/>
      <c r="C476" s="124" t="s">
        <v>503</v>
      </c>
      <c r="D476" s="114">
        <f>0.03*H476^0.667*D462^0.5</f>
        <v>0.11687153983039091</v>
      </c>
      <c r="E476" s="113" t="s">
        <v>200</v>
      </c>
      <c r="F476" s="113"/>
      <c r="G476" s="124" t="s">
        <v>504</v>
      </c>
      <c r="H476" s="174">
        <v>0.6</v>
      </c>
      <c r="I476" s="113" t="s">
        <v>505</v>
      </c>
      <c r="J476" s="113"/>
      <c r="K476" s="113"/>
      <c r="L476" s="113"/>
      <c r="M476" s="113"/>
    </row>
    <row r="477" spans="1:13" x14ac:dyDescent="0.25">
      <c r="A477" s="113"/>
      <c r="B477" s="113"/>
      <c r="C477" s="124" t="s">
        <v>506</v>
      </c>
      <c r="D477" s="114">
        <f>0.12*D475*(80*F461*D462)^0.33</f>
        <v>0.52330762531798514</v>
      </c>
      <c r="E477" s="113" t="s">
        <v>507</v>
      </c>
      <c r="F477" s="114">
        <f>D474</f>
        <v>0.24989007065963287</v>
      </c>
      <c r="G477" s="176" t="str">
        <f>+IF(D477&gt;=F477,"OK","NOT OK")</f>
        <v>OK</v>
      </c>
      <c r="H477" s="113"/>
      <c r="I477" s="177"/>
      <c r="J477" s="113"/>
      <c r="K477" s="113"/>
      <c r="L477" s="113"/>
      <c r="M477" s="113"/>
    </row>
    <row r="478" spans="1:13" x14ac:dyDescent="0.25">
      <c r="A478" s="113"/>
      <c r="B478" s="171" t="s">
        <v>508</v>
      </c>
      <c r="C478" s="171"/>
      <c r="D478" s="124"/>
      <c r="E478" s="123"/>
      <c r="F478" s="123"/>
      <c r="G478" s="126"/>
      <c r="H478" s="113"/>
      <c r="I478" s="113"/>
      <c r="J478" s="113"/>
      <c r="K478" s="113"/>
      <c r="L478" s="113"/>
      <c r="M478" s="113"/>
    </row>
    <row r="479" spans="1:13" x14ac:dyDescent="0.25">
      <c r="A479" s="113"/>
      <c r="B479" s="113"/>
      <c r="C479" s="124" t="s">
        <v>509</v>
      </c>
      <c r="D479" s="114">
        <f>L479*E468</f>
        <v>9.3583595031446993</v>
      </c>
      <c r="E479" s="113" t="s">
        <v>19</v>
      </c>
      <c r="F479" s="113"/>
      <c r="G479" s="113"/>
      <c r="H479" s="113"/>
      <c r="I479" s="113"/>
      <c r="J479" s="113" t="s">
        <v>510</v>
      </c>
      <c r="K479" s="124"/>
      <c r="L479" s="174">
        <f>+ASIN((I466+D466/2)/E468)*2+PI()/2</f>
        <v>2.3395898757861748</v>
      </c>
      <c r="M479" s="113" t="s">
        <v>132</v>
      </c>
    </row>
    <row r="480" spans="1:13" x14ac:dyDescent="0.25">
      <c r="A480" s="113"/>
      <c r="B480" s="113"/>
      <c r="C480" s="124" t="s">
        <v>511</v>
      </c>
      <c r="D480" s="114">
        <f>+PI()*E468/2</f>
        <v>6.2831853071795862</v>
      </c>
      <c r="E480" s="113" t="s">
        <v>19</v>
      </c>
      <c r="F480" s="113"/>
      <c r="G480" s="113"/>
      <c r="H480" s="113"/>
      <c r="I480" s="113" t="s">
        <v>512</v>
      </c>
      <c r="J480" s="113">
        <f>+E468*D479</f>
        <v>37.433438012578797</v>
      </c>
      <c r="K480" s="124"/>
      <c r="L480" s="174"/>
      <c r="M480" s="113"/>
    </row>
    <row r="481" spans="1:13" x14ac:dyDescent="0.25">
      <c r="A481" s="113"/>
      <c r="B481" s="113"/>
      <c r="C481" s="124" t="s">
        <v>500</v>
      </c>
      <c r="D481" s="114">
        <f>+D479/D480</f>
        <v>1.4894291741564927</v>
      </c>
      <c r="E481" s="113"/>
      <c r="F481" s="113"/>
      <c r="G481" s="113"/>
      <c r="H481" s="113"/>
      <c r="I481" s="113"/>
      <c r="J481" s="113"/>
      <c r="K481" s="113"/>
      <c r="L481" s="113"/>
      <c r="M481" s="113"/>
    </row>
    <row r="482" spans="1:13" x14ac:dyDescent="0.25">
      <c r="A482" s="113"/>
      <c r="B482" s="113"/>
      <c r="C482" s="124" t="s">
        <v>501</v>
      </c>
      <c r="D482" s="114">
        <f>+((D481*D452/(D479*D465))*(1+(H476*D455*D479)/(D452*J480))/1000)</f>
        <v>0.35187814257938993</v>
      </c>
      <c r="E482" s="113" t="s">
        <v>200</v>
      </c>
      <c r="F482" s="124"/>
      <c r="G482" s="175"/>
      <c r="H482" s="113"/>
      <c r="I482" s="113"/>
      <c r="J482" s="113"/>
      <c r="K482" s="113"/>
      <c r="L482" s="113"/>
      <c r="M482" s="113"/>
    </row>
    <row r="483" spans="1:13" x14ac:dyDescent="0.25">
      <c r="A483" s="113"/>
      <c r="B483" s="113"/>
      <c r="C483" s="124" t="s">
        <v>239</v>
      </c>
      <c r="D483" s="123">
        <f>1+SQRT(200/D474/1000)</f>
        <v>1.8946239034579317</v>
      </c>
      <c r="E483" s="113" t="s">
        <v>502</v>
      </c>
      <c r="F483" s="113"/>
      <c r="G483" s="124"/>
      <c r="H483" s="113"/>
      <c r="I483" s="113"/>
      <c r="J483" s="113"/>
      <c r="K483" s="113"/>
      <c r="L483" s="113"/>
      <c r="M483" s="113"/>
    </row>
    <row r="484" spans="1:13" x14ac:dyDescent="0.25">
      <c r="A484" s="113"/>
      <c r="B484" s="113"/>
      <c r="C484" s="124" t="s">
        <v>503</v>
      </c>
      <c r="D484" s="114">
        <f>0.03*H484^0.667*D471^0.5</f>
        <v>0.10697149577804556</v>
      </c>
      <c r="E484" s="113" t="s">
        <v>200</v>
      </c>
      <c r="F484" s="113"/>
      <c r="G484" s="124" t="s">
        <v>504</v>
      </c>
      <c r="H484" s="174">
        <v>0.6</v>
      </c>
      <c r="I484" s="113"/>
      <c r="J484" s="113"/>
      <c r="K484" s="113"/>
      <c r="L484" s="113"/>
      <c r="M484" s="113"/>
    </row>
    <row r="485" spans="1:13" x14ac:dyDescent="0.25">
      <c r="A485" s="113"/>
      <c r="B485" s="113"/>
      <c r="C485" s="124" t="s">
        <v>506</v>
      </c>
      <c r="D485" s="114">
        <f>D477</f>
        <v>0.52330762531798514</v>
      </c>
      <c r="E485" s="113" t="s">
        <v>507</v>
      </c>
      <c r="F485" s="114">
        <f>D482</f>
        <v>0.35187814257938993</v>
      </c>
      <c r="G485" s="176" t="str">
        <f>+IF(D485&gt;=F485,"OK","NOT OK")</f>
        <v>OK</v>
      </c>
      <c r="H485" s="113"/>
      <c r="I485" s="177"/>
      <c r="J485" s="113"/>
      <c r="K485" s="113"/>
      <c r="L485" s="113"/>
      <c r="M485" s="113"/>
    </row>
    <row r="486" spans="1:13" x14ac:dyDescent="0.25">
      <c r="A486" s="113"/>
      <c r="B486" s="113"/>
      <c r="C486" s="124"/>
      <c r="D486" s="114"/>
      <c r="E486" s="113"/>
      <c r="F486" s="114"/>
      <c r="G486" s="128"/>
      <c r="H486" s="113"/>
      <c r="I486" s="177"/>
      <c r="J486" s="113"/>
      <c r="K486" s="113"/>
      <c r="L486" s="113"/>
      <c r="M486" s="113"/>
    </row>
    <row r="487" spans="1:13" x14ac:dyDescent="0.25">
      <c r="A487" s="113"/>
      <c r="B487" s="178"/>
      <c r="C487" s="179" t="s">
        <v>513</v>
      </c>
      <c r="D487" s="114"/>
      <c r="E487" s="113"/>
      <c r="F487" s="114"/>
      <c r="G487" s="128"/>
      <c r="H487" s="113"/>
      <c r="I487" s="177"/>
      <c r="J487" s="113"/>
      <c r="K487" s="113"/>
      <c r="L487" s="113"/>
      <c r="M487" s="113"/>
    </row>
    <row r="488" spans="1:13" x14ac:dyDescent="0.25">
      <c r="A488" s="113"/>
      <c r="B488" s="113"/>
      <c r="C488" s="124"/>
      <c r="D488" s="114"/>
      <c r="E488" s="113"/>
      <c r="F488" s="114"/>
      <c r="G488" s="128"/>
      <c r="H488" s="113"/>
      <c r="I488" s="177"/>
      <c r="J488" s="113"/>
      <c r="K488" s="113"/>
      <c r="L488" s="113"/>
      <c r="M488" s="113"/>
    </row>
    <row r="489" spans="1:13" x14ac:dyDescent="0.25">
      <c r="A489" s="113"/>
      <c r="B489" s="113"/>
      <c r="C489" s="124" t="s">
        <v>514</v>
      </c>
      <c r="D489" s="114">
        <f>0.6*(1-D462/310)</f>
        <v>0.54193548387096768</v>
      </c>
      <c r="E489" s="113"/>
      <c r="F489" s="114"/>
      <c r="G489" s="128"/>
      <c r="H489" s="113"/>
      <c r="I489" s="177"/>
      <c r="J489" s="113"/>
      <c r="K489" s="113"/>
      <c r="L489" s="113"/>
      <c r="M489" s="113"/>
    </row>
    <row r="490" spans="1:13" ht="18" x14ac:dyDescent="0.35">
      <c r="A490" s="113"/>
      <c r="B490" s="113"/>
      <c r="C490" s="124" t="s">
        <v>515</v>
      </c>
      <c r="D490" s="114">
        <f>0.5*D489*0.67*D462/1.5</f>
        <v>3.6309677419354838</v>
      </c>
      <c r="E490" s="113" t="s">
        <v>516</v>
      </c>
      <c r="F490" s="114"/>
      <c r="G490" s="128"/>
      <c r="H490" s="113"/>
      <c r="I490" s="177"/>
      <c r="J490" s="113"/>
      <c r="K490" s="113"/>
      <c r="L490" s="113"/>
      <c r="M490" s="113"/>
    </row>
    <row r="491" spans="1:13" x14ac:dyDescent="0.25">
      <c r="A491" s="113"/>
      <c r="B491" s="113"/>
      <c r="C491" s="124" t="s">
        <v>500</v>
      </c>
      <c r="D491" s="114">
        <f>1+H484*(D455/D452)*(PI()*D466/(PI()*D466*D466/2))</f>
        <v>2.3233988766283904</v>
      </c>
      <c r="E491" s="113"/>
      <c r="F491" s="114"/>
      <c r="G491" s="128"/>
      <c r="H491" s="113"/>
      <c r="I491" s="177"/>
      <c r="J491" s="113"/>
      <c r="K491" s="113"/>
      <c r="L491" s="113"/>
      <c r="M491" s="113"/>
    </row>
    <row r="492" spans="1:13" ht="18" x14ac:dyDescent="0.35">
      <c r="A492" s="113"/>
      <c r="B492" s="113"/>
      <c r="C492" s="124" t="s">
        <v>517</v>
      </c>
      <c r="D492" s="114">
        <f>+D491*D452/(PI()*D466*D465)/1000</f>
        <v>1.1369024818646991</v>
      </c>
      <c r="E492" s="113" t="s">
        <v>516</v>
      </c>
      <c r="F492" s="114"/>
      <c r="G492" s="176" t="str">
        <f>+IF(D490&gt;=D492,"OK","NOTOK")</f>
        <v>OK</v>
      </c>
      <c r="H492" s="113"/>
      <c r="I492" s="177"/>
      <c r="J492" s="113"/>
      <c r="K492" s="113"/>
      <c r="L492" s="113"/>
      <c r="M492" s="113"/>
    </row>
    <row r="493" spans="1:13" x14ac:dyDescent="0.25">
      <c r="A493" s="113"/>
      <c r="B493" s="113"/>
      <c r="C493" s="124"/>
      <c r="D493" s="114"/>
      <c r="E493" s="113"/>
      <c r="F493" s="114"/>
      <c r="G493" s="128"/>
      <c r="H493" s="113"/>
      <c r="I493" s="177"/>
      <c r="J493" s="113"/>
      <c r="K493" s="113"/>
      <c r="L493" s="113"/>
      <c r="M493" s="113"/>
    </row>
    <row r="494" spans="1:13" x14ac:dyDescent="0.25">
      <c r="A494" s="113"/>
      <c r="B494" s="113"/>
      <c r="C494" s="124"/>
      <c r="D494" s="114"/>
      <c r="E494" s="113"/>
      <c r="F494" s="114"/>
      <c r="G494" s="128"/>
      <c r="H494" s="113"/>
      <c r="I494" s="177"/>
      <c r="J494" s="113"/>
      <c r="K494" s="113"/>
      <c r="L494" s="113"/>
      <c r="M494" s="113"/>
    </row>
    <row r="495" spans="1:13" x14ac:dyDescent="0.25">
      <c r="A495" s="170">
        <v>-4.8</v>
      </c>
      <c r="B495" s="175">
        <f>G222</f>
        <v>-3.6</v>
      </c>
      <c r="C495" s="175">
        <f>C399</f>
        <v>0</v>
      </c>
      <c r="D495" s="175">
        <f>I222</f>
        <v>3.6</v>
      </c>
      <c r="E495" s="175">
        <f>I222+J222</f>
        <v>4.8</v>
      </c>
      <c r="F495" s="180"/>
      <c r="G495" s="181"/>
      <c r="H495" s="113"/>
      <c r="I495" s="113"/>
      <c r="J495" s="113"/>
      <c r="K495" s="113"/>
      <c r="L495" s="113"/>
      <c r="M495" s="113"/>
    </row>
    <row r="496" spans="1:13" x14ac:dyDescent="0.25">
      <c r="A496" s="113"/>
      <c r="B496" s="113"/>
      <c r="C496" s="113"/>
      <c r="D496" s="113"/>
      <c r="E496" s="113"/>
      <c r="F496" s="182"/>
      <c r="G496" s="183"/>
      <c r="H496" s="113"/>
      <c r="I496" s="113"/>
      <c r="J496" s="113"/>
      <c r="K496" s="113"/>
      <c r="L496" s="113"/>
      <c r="M496" s="113"/>
    </row>
    <row r="497" spans="1:13" x14ac:dyDescent="0.25">
      <c r="A497" s="113"/>
      <c r="B497" s="184"/>
      <c r="C497" s="184"/>
      <c r="D497" s="184"/>
      <c r="E497" s="184"/>
      <c r="F497" s="113"/>
      <c r="G497" s="185"/>
      <c r="H497" s="113"/>
      <c r="I497" s="113"/>
      <c r="J497" s="113"/>
      <c r="K497" s="113"/>
      <c r="L497" s="113"/>
      <c r="M497" s="113"/>
    </row>
    <row r="498" spans="1:13" x14ac:dyDescent="0.25">
      <c r="A498" s="113"/>
      <c r="B498" s="113"/>
      <c r="C498" s="113"/>
      <c r="D498" s="113"/>
      <c r="E498" s="113"/>
      <c r="F498" s="113"/>
      <c r="G498" s="185"/>
      <c r="H498" s="113"/>
      <c r="I498" s="113"/>
      <c r="J498" s="113"/>
      <c r="K498" s="113"/>
      <c r="L498" s="113"/>
      <c r="M498" s="113"/>
    </row>
    <row r="499" spans="1:13" x14ac:dyDescent="0.25">
      <c r="A499" s="113"/>
      <c r="B499" s="184"/>
      <c r="C499" s="184"/>
      <c r="D499" s="184"/>
      <c r="E499" s="184"/>
      <c r="F499" s="113"/>
      <c r="G499" s="185"/>
      <c r="H499" s="113"/>
      <c r="I499" s="113"/>
      <c r="J499" s="113"/>
      <c r="K499" s="113"/>
      <c r="L499" s="113"/>
      <c r="M499" s="113"/>
    </row>
    <row r="500" spans="1:13" x14ac:dyDescent="0.25">
      <c r="A500" s="113"/>
      <c r="B500" s="113"/>
      <c r="C500" s="113"/>
      <c r="D500" s="113"/>
      <c r="E500" s="113"/>
      <c r="F500" s="113"/>
      <c r="G500" s="185"/>
      <c r="H500" s="113"/>
      <c r="I500" s="113"/>
      <c r="J500" s="113"/>
      <c r="K500" s="113"/>
      <c r="L500" s="113"/>
      <c r="M500" s="113"/>
    </row>
    <row r="501" spans="1:13" x14ac:dyDescent="0.25">
      <c r="A501" s="113"/>
      <c r="B501" s="113"/>
      <c r="C501" s="113"/>
      <c r="D501" s="113"/>
      <c r="E501" s="113"/>
      <c r="F501" s="124"/>
      <c r="G501" s="185"/>
      <c r="H501" s="124" t="s">
        <v>518</v>
      </c>
      <c r="I501" s="123">
        <f>D217</f>
        <v>1.8</v>
      </c>
      <c r="J501" s="113"/>
      <c r="K501" s="113"/>
      <c r="L501" s="113"/>
      <c r="M501" s="113"/>
    </row>
    <row r="502" spans="1:13" x14ac:dyDescent="0.25">
      <c r="A502" s="113"/>
      <c r="B502" s="113"/>
      <c r="C502" s="113"/>
      <c r="D502" s="113"/>
      <c r="E502" s="113"/>
      <c r="F502" s="113"/>
      <c r="G502" s="185"/>
      <c r="H502" s="113"/>
      <c r="I502" s="114"/>
      <c r="J502" s="113"/>
      <c r="K502" s="113"/>
      <c r="L502" s="113"/>
      <c r="M502" s="113"/>
    </row>
    <row r="503" spans="1:13" x14ac:dyDescent="0.25">
      <c r="A503" s="113"/>
      <c r="B503" s="113"/>
      <c r="C503" s="113"/>
      <c r="D503" s="113"/>
      <c r="E503" s="113"/>
      <c r="F503" s="113"/>
      <c r="G503" s="113"/>
      <c r="H503" s="113"/>
      <c r="I503" s="113"/>
      <c r="J503" s="113"/>
      <c r="K503" s="113"/>
      <c r="L503" s="113"/>
      <c r="M503" s="113"/>
    </row>
    <row r="504" spans="1:13" x14ac:dyDescent="0.25">
      <c r="A504" s="113"/>
      <c r="B504" s="113"/>
      <c r="C504" s="113"/>
      <c r="D504" s="113"/>
      <c r="E504" s="113"/>
      <c r="F504" s="113" t="s">
        <v>519</v>
      </c>
      <c r="G504" s="113"/>
      <c r="H504" s="113"/>
      <c r="I504" s="113"/>
      <c r="J504" s="113"/>
      <c r="K504" s="113"/>
      <c r="L504" s="113"/>
      <c r="M504" s="113"/>
    </row>
    <row r="505" spans="1:13" x14ac:dyDescent="0.25">
      <c r="A505" s="113"/>
      <c r="B505" s="113"/>
      <c r="C505" s="113"/>
      <c r="D505" s="113"/>
      <c r="E505" s="113"/>
      <c r="F505" s="124" t="s">
        <v>520</v>
      </c>
      <c r="G505" s="113">
        <v>11</v>
      </c>
      <c r="H505" s="113" t="s">
        <v>19</v>
      </c>
      <c r="I505" s="113"/>
      <c r="J505" s="113"/>
      <c r="K505" s="113"/>
      <c r="L505" s="113"/>
      <c r="M505" s="113"/>
    </row>
    <row r="506" spans="1:13" x14ac:dyDescent="0.25">
      <c r="A506" s="113"/>
      <c r="B506" s="113"/>
      <c r="C506" s="113"/>
      <c r="D506" s="113"/>
      <c r="E506" s="113"/>
      <c r="F506" s="113"/>
      <c r="G506" s="113"/>
      <c r="H506" s="113"/>
      <c r="I506" s="124" t="s">
        <v>521</v>
      </c>
      <c r="J506" s="113"/>
      <c r="K506" s="113"/>
      <c r="L506" s="113"/>
      <c r="M506" s="113"/>
    </row>
    <row r="507" spans="1:13" x14ac:dyDescent="0.25">
      <c r="A507" s="113"/>
      <c r="B507" s="113"/>
      <c r="C507" s="113"/>
      <c r="D507" s="113"/>
      <c r="E507" s="113"/>
      <c r="F507" s="113"/>
      <c r="G507" s="113"/>
      <c r="H507" s="113"/>
      <c r="I507" s="126">
        <f>D465*1000</f>
        <v>1700</v>
      </c>
      <c r="J507" s="113" t="s">
        <v>181</v>
      </c>
      <c r="K507" s="113"/>
      <c r="L507" s="113"/>
      <c r="M507" s="113"/>
    </row>
    <row r="508" spans="1:13" x14ac:dyDescent="0.25">
      <c r="A508" s="113"/>
      <c r="B508" s="113"/>
      <c r="C508" s="113"/>
      <c r="D508" s="113"/>
      <c r="E508" s="113"/>
      <c r="F508" s="113"/>
      <c r="G508" s="113"/>
      <c r="H508" s="113"/>
      <c r="I508" s="113"/>
      <c r="J508" s="113"/>
      <c r="K508" s="113"/>
      <c r="L508" s="113"/>
      <c r="M508" s="113"/>
    </row>
    <row r="509" spans="1:13" x14ac:dyDescent="0.25">
      <c r="A509" s="113"/>
      <c r="B509" s="113"/>
      <c r="C509" s="113"/>
      <c r="D509" s="113"/>
      <c r="E509" s="113"/>
      <c r="F509" s="113"/>
      <c r="G509" s="113"/>
      <c r="H509" s="113"/>
      <c r="I509" s="113"/>
      <c r="J509" s="113"/>
      <c r="K509" s="113"/>
      <c r="L509" s="113"/>
      <c r="M509" s="113"/>
    </row>
    <row r="510" spans="1:13" x14ac:dyDescent="0.25">
      <c r="A510" s="113"/>
      <c r="B510" s="113"/>
      <c r="C510" s="113"/>
      <c r="D510" s="113"/>
      <c r="E510" s="113"/>
      <c r="F510" s="113"/>
      <c r="G510" s="113"/>
      <c r="H510" s="113"/>
      <c r="I510" s="113"/>
      <c r="J510" s="113"/>
      <c r="K510" s="113"/>
      <c r="L510" s="113"/>
      <c r="M510" s="113"/>
    </row>
    <row r="511" spans="1:13" x14ac:dyDescent="0.25">
      <c r="A511" s="113"/>
      <c r="B511" s="113"/>
      <c r="C511" s="113"/>
      <c r="D511" s="113"/>
      <c r="E511" s="113"/>
      <c r="F511" s="113"/>
      <c r="G511" s="113"/>
      <c r="H511" s="124" t="s">
        <v>522</v>
      </c>
      <c r="I511" s="113">
        <v>200000</v>
      </c>
      <c r="J511" s="113"/>
      <c r="K511" s="113"/>
      <c r="L511" s="113"/>
      <c r="M511" s="113"/>
    </row>
    <row r="512" spans="1:13" ht="15.6" x14ac:dyDescent="0.35">
      <c r="A512" s="113" t="s">
        <v>182</v>
      </c>
      <c r="B512" s="113">
        <v>30</v>
      </c>
      <c r="C512" s="113"/>
      <c r="D512" s="124" t="s">
        <v>523</v>
      </c>
      <c r="E512" s="113">
        <v>500</v>
      </c>
      <c r="F512" s="113" t="s">
        <v>135</v>
      </c>
      <c r="G512" s="113"/>
      <c r="H512" s="152" t="s">
        <v>524</v>
      </c>
      <c r="I512" s="123">
        <f>E512/1.15</f>
        <v>434.78260869565219</v>
      </c>
      <c r="J512" s="113"/>
      <c r="K512" s="113"/>
      <c r="L512" s="113"/>
      <c r="M512" s="113"/>
    </row>
    <row r="513" spans="1:13" ht="16.2" x14ac:dyDescent="0.35">
      <c r="A513" s="113"/>
      <c r="B513" s="124" t="s">
        <v>525</v>
      </c>
      <c r="C513" s="113">
        <v>0.80952000000000002</v>
      </c>
      <c r="D513" s="113"/>
      <c r="E513" s="113" t="s">
        <v>526</v>
      </c>
      <c r="F513" s="113"/>
      <c r="G513" s="113">
        <v>0.41597000000000001</v>
      </c>
      <c r="H513" s="124" t="s">
        <v>527</v>
      </c>
      <c r="I513" s="186">
        <v>0.05</v>
      </c>
      <c r="J513" s="113"/>
      <c r="K513" s="113"/>
      <c r="L513" s="113"/>
      <c r="M513" s="113"/>
    </row>
    <row r="514" spans="1:13" ht="16.2" x14ac:dyDescent="0.35">
      <c r="A514" s="113"/>
      <c r="B514" s="113" t="s">
        <v>528</v>
      </c>
      <c r="C514" s="113"/>
      <c r="D514" s="113"/>
      <c r="E514" s="113"/>
      <c r="F514" s="113"/>
      <c r="G514" s="113"/>
      <c r="H514" s="124" t="s">
        <v>529</v>
      </c>
      <c r="I514" s="186">
        <f>0.9*I513</f>
        <v>4.5000000000000005E-2</v>
      </c>
      <c r="J514" s="113"/>
      <c r="K514" s="113"/>
      <c r="L514" s="113"/>
      <c r="M514" s="113"/>
    </row>
    <row r="515" spans="1:13" ht="16.2" x14ac:dyDescent="0.35">
      <c r="A515" s="113"/>
      <c r="B515" s="113"/>
      <c r="C515" s="184">
        <f>E441+E444+E447</f>
        <v>7499.4843546262928</v>
      </c>
      <c r="D515" s="126">
        <f>D495-C322/2</f>
        <v>3</v>
      </c>
      <c r="E515" s="113"/>
      <c r="F515" s="126">
        <f>D515*C515</f>
        <v>22498.453063878878</v>
      </c>
      <c r="G515" s="113" t="s">
        <v>431</v>
      </c>
      <c r="H515" s="124" t="s">
        <v>530</v>
      </c>
      <c r="I515" s="186">
        <f>E512/I511</f>
        <v>2.5000000000000001E-3</v>
      </c>
      <c r="J515" s="113"/>
      <c r="K515" s="113"/>
      <c r="L515" s="113"/>
      <c r="M515" s="113"/>
    </row>
    <row r="516" spans="1:13" ht="16.2" x14ac:dyDescent="0.35">
      <c r="A516" s="113"/>
      <c r="B516" s="113"/>
      <c r="C516" s="184"/>
      <c r="D516" s="126"/>
      <c r="E516" s="113"/>
      <c r="F516" s="126"/>
      <c r="G516" s="113" t="s">
        <v>431</v>
      </c>
      <c r="H516" s="124" t="s">
        <v>531</v>
      </c>
      <c r="I516" s="186">
        <f>I515/1.15</f>
        <v>2.1739130434782609E-3</v>
      </c>
      <c r="J516" s="113"/>
      <c r="K516" s="113"/>
      <c r="L516" s="113"/>
      <c r="M516" s="113"/>
    </row>
    <row r="517" spans="1:13" ht="14.4" x14ac:dyDescent="0.3">
      <c r="A517" s="113"/>
      <c r="B517" s="113"/>
      <c r="C517" s="113"/>
      <c r="D517" s="113"/>
      <c r="E517" s="113" t="s">
        <v>532</v>
      </c>
      <c r="F517" s="121">
        <f>F516+F515</f>
        <v>22498.453063878878</v>
      </c>
      <c r="G517" s="113"/>
      <c r="H517" s="113"/>
      <c r="I517" s="113"/>
      <c r="J517" s="113"/>
      <c r="K517" s="113"/>
      <c r="L517" s="113"/>
      <c r="M517" s="113"/>
    </row>
    <row r="518" spans="1:13" x14ac:dyDescent="0.25">
      <c r="A518" s="113"/>
      <c r="B518" s="113"/>
      <c r="C518" s="113"/>
      <c r="D518" s="113"/>
      <c r="E518" s="113"/>
      <c r="F518" s="113"/>
      <c r="G518" s="113"/>
      <c r="H518" s="113"/>
      <c r="I518" s="113"/>
      <c r="J518" s="113"/>
      <c r="K518" s="113"/>
      <c r="L518" s="113"/>
      <c r="M518" s="113"/>
    </row>
    <row r="519" spans="1:13" ht="16.2" x14ac:dyDescent="0.35">
      <c r="A519" s="187" t="s">
        <v>533</v>
      </c>
      <c r="B519" s="187"/>
      <c r="C519" s="187"/>
      <c r="D519" s="187">
        <v>3.5000000000000001E-3</v>
      </c>
      <c r="E519" s="187"/>
      <c r="F519" s="187" t="s">
        <v>534</v>
      </c>
      <c r="G519" s="188">
        <f>+D519*D465*1000/(D519+D520)</f>
        <v>1048.6590038314173</v>
      </c>
      <c r="H519" s="187" t="s">
        <v>181</v>
      </c>
      <c r="I519" s="113"/>
      <c r="J519" s="113"/>
      <c r="K519" s="113"/>
      <c r="L519" s="113"/>
      <c r="M519" s="113"/>
    </row>
    <row r="520" spans="1:13" x14ac:dyDescent="0.25">
      <c r="A520" s="187" t="s">
        <v>535</v>
      </c>
      <c r="B520" s="187"/>
      <c r="C520" s="187"/>
      <c r="D520" s="189">
        <f>+E512/(1.15*I511)</f>
        <v>2.1739130434782613E-3</v>
      </c>
      <c r="E520" s="187"/>
      <c r="F520" s="187"/>
      <c r="G520" s="187"/>
      <c r="H520" s="187"/>
      <c r="I520" s="113"/>
      <c r="J520" s="113"/>
      <c r="K520" s="113"/>
      <c r="L520" s="113"/>
      <c r="M520" s="113"/>
    </row>
    <row r="521" spans="1:13" x14ac:dyDescent="0.25">
      <c r="A521" s="187"/>
      <c r="B521" s="187"/>
      <c r="C521" s="187"/>
      <c r="D521" s="187"/>
      <c r="E521" s="187"/>
      <c r="F521" s="187"/>
      <c r="G521" s="187"/>
      <c r="H521" s="187"/>
      <c r="I521" s="113"/>
      <c r="J521" s="113"/>
      <c r="K521" s="113"/>
      <c r="L521" s="126"/>
      <c r="M521" s="113"/>
    </row>
    <row r="522" spans="1:13" x14ac:dyDescent="0.25">
      <c r="A522" s="187" t="s">
        <v>536</v>
      </c>
      <c r="B522" s="187"/>
      <c r="C522" s="187"/>
      <c r="D522" s="190">
        <f>(0.67*B512/1.5)*G519*C513*G505</f>
        <v>125129.39838160918</v>
      </c>
      <c r="E522" s="187"/>
      <c r="F522" s="191" t="s">
        <v>433</v>
      </c>
      <c r="G522" s="190">
        <f>I507-G513*G519</f>
        <v>1263.7893141762454</v>
      </c>
      <c r="H522" s="187" t="s">
        <v>181</v>
      </c>
      <c r="I522" s="113"/>
      <c r="J522" s="113"/>
      <c r="K522" s="113"/>
      <c r="L522" s="113"/>
      <c r="M522" s="113"/>
    </row>
    <row r="523" spans="1:13" ht="16.2" x14ac:dyDescent="0.35">
      <c r="A523" s="187"/>
      <c r="B523" s="187"/>
      <c r="C523" s="187" t="s">
        <v>537</v>
      </c>
      <c r="D523" s="188">
        <f>D522*G522/1000</f>
        <v>158137.19656398005</v>
      </c>
      <c r="E523" s="187" t="s">
        <v>431</v>
      </c>
      <c r="F523" s="187"/>
      <c r="G523" s="190">
        <f>(0.67*B512/1.5)*G519*C513*G505*G522/1000</f>
        <v>158137.19656398005</v>
      </c>
      <c r="H523" s="187"/>
      <c r="I523" s="113"/>
      <c r="J523" s="113"/>
      <c r="K523" s="113"/>
      <c r="L523" s="113"/>
      <c r="M523" s="113"/>
    </row>
    <row r="524" spans="1:13" x14ac:dyDescent="0.25">
      <c r="A524" s="113"/>
      <c r="B524" s="113"/>
      <c r="C524" s="113"/>
      <c r="D524" s="126"/>
      <c r="E524" s="113"/>
      <c r="F524" s="113"/>
      <c r="G524" s="126"/>
      <c r="H524" s="113"/>
      <c r="I524" s="113"/>
      <c r="J524" s="113"/>
      <c r="K524" s="113"/>
      <c r="L524" s="113"/>
      <c r="M524" s="113"/>
    </row>
    <row r="525" spans="1:13" ht="16.2" x14ac:dyDescent="0.35">
      <c r="A525" s="113" t="s">
        <v>533</v>
      </c>
      <c r="B525" s="113"/>
      <c r="C525" s="113"/>
      <c r="D525" s="113">
        <v>3.5000000000000001E-3</v>
      </c>
      <c r="E525" s="113"/>
      <c r="F525" s="113" t="s">
        <v>534</v>
      </c>
      <c r="G525" s="192">
        <v>114.09744087975787</v>
      </c>
      <c r="H525" s="113" t="s">
        <v>181</v>
      </c>
      <c r="I525" s="113"/>
      <c r="J525" s="193">
        <f>+F517-D529</f>
        <v>1.0448347893543541E-6</v>
      </c>
      <c r="K525" s="113" t="s">
        <v>538</v>
      </c>
      <c r="L525" s="113"/>
      <c r="M525" s="113"/>
    </row>
    <row r="526" spans="1:13" x14ac:dyDescent="0.25">
      <c r="A526" s="113" t="s">
        <v>535</v>
      </c>
      <c r="B526" s="113"/>
      <c r="C526" s="113"/>
      <c r="D526" s="125">
        <f>+E512/(1.15*I511)</f>
        <v>2.1739130434782613E-3</v>
      </c>
      <c r="E526" s="113"/>
      <c r="F526" s="113"/>
      <c r="G526" s="113"/>
      <c r="H526" s="113"/>
      <c r="I526" s="113"/>
      <c r="J526" s="113"/>
      <c r="K526" s="113"/>
      <c r="L526" s="113"/>
      <c r="M526" s="113"/>
    </row>
    <row r="527" spans="1:13" x14ac:dyDescent="0.25">
      <c r="A527" s="113"/>
      <c r="B527" s="113"/>
      <c r="C527" s="113"/>
      <c r="D527" s="113"/>
      <c r="E527" s="113"/>
      <c r="F527" s="113"/>
      <c r="G527" s="113"/>
      <c r="H527" s="113"/>
      <c r="I527" s="113"/>
      <c r="J527" s="113"/>
      <c r="K527" s="113"/>
      <c r="L527" s="113"/>
      <c r="M527" s="113"/>
    </row>
    <row r="528" spans="1:13" x14ac:dyDescent="0.25">
      <c r="A528" s="113" t="s">
        <v>536</v>
      </c>
      <c r="B528" s="113"/>
      <c r="C528" s="113"/>
      <c r="D528" s="126">
        <f>(0.67*B512/1.5)*G525*C513*G505</f>
        <v>13614.477234260687</v>
      </c>
      <c r="E528" s="113"/>
      <c r="F528" s="124" t="s">
        <v>433</v>
      </c>
      <c r="G528" s="126">
        <f>I507-G513*G525</f>
        <v>1652.5388875172471</v>
      </c>
      <c r="H528" s="113" t="s">
        <v>181</v>
      </c>
      <c r="I528" s="113"/>
      <c r="J528" s="113"/>
      <c r="K528" s="113"/>
      <c r="L528" s="113"/>
      <c r="M528" s="113"/>
    </row>
    <row r="529" spans="1:13" ht="16.2" x14ac:dyDescent="0.35">
      <c r="A529" s="113"/>
      <c r="B529" s="113"/>
      <c r="C529" s="113" t="s">
        <v>537</v>
      </c>
      <c r="D529" s="126">
        <f>D528*G528/1000</f>
        <v>22498.453062834044</v>
      </c>
      <c r="E529" s="113" t="s">
        <v>431</v>
      </c>
      <c r="F529" s="113"/>
      <c r="G529" s="126"/>
      <c r="H529" s="113"/>
      <c r="I529" s="113"/>
      <c r="J529" s="113"/>
      <c r="K529" s="113"/>
      <c r="L529" s="113"/>
      <c r="M529" s="113"/>
    </row>
    <row r="530" spans="1:13" x14ac:dyDescent="0.25">
      <c r="A530" s="113"/>
      <c r="B530" s="113"/>
      <c r="C530" s="113"/>
      <c r="D530" s="126"/>
      <c r="E530" s="113"/>
      <c r="F530" s="113"/>
      <c r="G530" s="113"/>
      <c r="H530" s="113"/>
      <c r="I530" s="113"/>
      <c r="J530" s="113"/>
      <c r="K530" s="113"/>
      <c r="L530" s="113"/>
      <c r="M530" s="113"/>
    </row>
    <row r="531" spans="1:13" x14ac:dyDescent="0.25">
      <c r="A531" s="113" t="s">
        <v>539</v>
      </c>
      <c r="B531" s="113"/>
      <c r="C531" s="113"/>
      <c r="D531" s="126">
        <f>D528/I512*1000</f>
        <v>31313.29763879958</v>
      </c>
      <c r="E531" s="113" t="s">
        <v>540</v>
      </c>
      <c r="F531" s="113">
        <v>32</v>
      </c>
      <c r="G531" s="113" t="s">
        <v>541</v>
      </c>
      <c r="H531" s="123">
        <f>D531/(PI()*F531^2/4)</f>
        <v>38.93489143533381</v>
      </c>
      <c r="I531" s="113" t="s">
        <v>542</v>
      </c>
      <c r="J531" s="113"/>
      <c r="K531" s="113"/>
      <c r="L531" s="113"/>
      <c r="M531" s="113"/>
    </row>
    <row r="532" spans="1:13" x14ac:dyDescent="0.25">
      <c r="A532" s="113"/>
      <c r="B532" s="113"/>
      <c r="C532" s="113"/>
      <c r="D532" s="113"/>
      <c r="E532" s="113"/>
      <c r="F532" s="113"/>
      <c r="G532" s="113" t="s">
        <v>543</v>
      </c>
      <c r="H532" s="123">
        <f>G505*1000/H531</f>
        <v>282.52294007984284</v>
      </c>
      <c r="I532" s="113" t="s">
        <v>266</v>
      </c>
      <c r="J532" s="113"/>
      <c r="K532" s="113"/>
      <c r="L532" s="113"/>
      <c r="M532" s="113"/>
    </row>
    <row r="533" spans="1:13" x14ac:dyDescent="0.25">
      <c r="A533" s="113"/>
      <c r="B533" s="194" t="s">
        <v>544</v>
      </c>
      <c r="C533" s="194"/>
      <c r="D533" s="194">
        <f>+F531</f>
        <v>32</v>
      </c>
      <c r="E533" s="194" t="s">
        <v>481</v>
      </c>
      <c r="F533" s="194">
        <v>200</v>
      </c>
      <c r="G533" s="194" t="s">
        <v>193</v>
      </c>
      <c r="H533" s="195"/>
      <c r="I533" s="113">
        <f>+CEILING(G505*1000/F533,1)</f>
        <v>55</v>
      </c>
      <c r="J533" s="113" t="s">
        <v>545</v>
      </c>
      <c r="K533" s="113"/>
      <c r="L533" s="113"/>
      <c r="M533" s="113"/>
    </row>
    <row r="534" spans="1:13" x14ac:dyDescent="0.25">
      <c r="A534" s="113"/>
      <c r="B534" s="113"/>
      <c r="C534" s="113" t="s">
        <v>546</v>
      </c>
      <c r="D534" s="113"/>
      <c r="E534" s="113">
        <f>+PI()*D533*D533*I533/4</f>
        <v>44233.62456254429</v>
      </c>
      <c r="F534" s="113"/>
      <c r="G534" s="113" t="str">
        <f>+IF(E534&gt;D531,"OK","NotOk")</f>
        <v>OK</v>
      </c>
      <c r="H534" s="113"/>
      <c r="I534" s="113"/>
      <c r="J534" s="113"/>
      <c r="K534" s="113"/>
      <c r="L534" s="113"/>
      <c r="M534" s="113"/>
    </row>
    <row r="535" spans="1:13" x14ac:dyDescent="0.25">
      <c r="A535" s="113"/>
      <c r="B535" s="113"/>
      <c r="C535" s="113"/>
      <c r="D535" s="113"/>
      <c r="E535" s="113"/>
      <c r="F535" s="113"/>
      <c r="G535" s="113"/>
      <c r="H535" s="113"/>
      <c r="I535" s="113"/>
      <c r="J535" s="113"/>
      <c r="K535" s="113"/>
      <c r="L535" s="113"/>
      <c r="M535" s="113"/>
    </row>
    <row r="536" spans="1:13" x14ac:dyDescent="0.25">
      <c r="A536" s="113" t="s">
        <v>547</v>
      </c>
      <c r="B536" s="113"/>
      <c r="C536" s="113"/>
      <c r="D536" s="113"/>
      <c r="E536" s="113"/>
      <c r="F536" s="113"/>
      <c r="G536" s="113"/>
      <c r="H536" s="113"/>
      <c r="I536" s="113"/>
      <c r="J536" s="113"/>
      <c r="K536" s="113"/>
      <c r="L536" s="113"/>
      <c r="M536" s="113"/>
    </row>
    <row r="537" spans="1:13" x14ac:dyDescent="0.25">
      <c r="A537" s="124" t="s">
        <v>194</v>
      </c>
      <c r="B537" s="113">
        <f>D462</f>
        <v>30</v>
      </c>
      <c r="C537" s="113"/>
      <c r="D537" s="124" t="s">
        <v>191</v>
      </c>
      <c r="E537" s="113">
        <v>500</v>
      </c>
      <c r="F537" s="113"/>
      <c r="G537" s="124" t="s">
        <v>548</v>
      </c>
      <c r="H537" s="184">
        <f>C515</f>
        <v>7499.4843546262928</v>
      </c>
      <c r="I537" s="113" t="s">
        <v>177</v>
      </c>
      <c r="J537" s="113"/>
      <c r="K537" s="113"/>
      <c r="L537" s="113"/>
      <c r="M537" s="113"/>
    </row>
    <row r="538" spans="1:13" x14ac:dyDescent="0.25">
      <c r="A538" s="124" t="s">
        <v>436</v>
      </c>
      <c r="B538" s="184">
        <f>I507</f>
        <v>1700</v>
      </c>
      <c r="C538" s="113"/>
      <c r="D538" s="124" t="s">
        <v>238</v>
      </c>
      <c r="E538" s="113">
        <f>G505*1000</f>
        <v>11000</v>
      </c>
      <c r="F538" s="113"/>
      <c r="G538" s="113"/>
      <c r="H538" s="113"/>
      <c r="I538" s="113"/>
      <c r="J538" s="113"/>
      <c r="K538" s="113"/>
      <c r="L538" s="113"/>
      <c r="M538" s="113"/>
    </row>
    <row r="539" spans="1:13" x14ac:dyDescent="0.25">
      <c r="A539" s="124" t="s">
        <v>549</v>
      </c>
      <c r="B539" s="113">
        <f>F461</f>
        <v>1.4783965428657848E-2</v>
      </c>
      <c r="C539" s="113"/>
      <c r="D539" s="113"/>
      <c r="E539" s="113"/>
      <c r="F539" s="113"/>
      <c r="G539" s="113"/>
      <c r="H539" s="113"/>
      <c r="I539" s="113"/>
      <c r="J539" s="113"/>
      <c r="K539" s="113"/>
      <c r="L539" s="113"/>
      <c r="M539" s="113"/>
    </row>
    <row r="540" spans="1:13" x14ac:dyDescent="0.25">
      <c r="A540" s="124" t="s">
        <v>550</v>
      </c>
      <c r="B540" s="113">
        <f>1+SQRT(200/B538)</f>
        <v>1.3429971702850176</v>
      </c>
      <c r="C540" s="113"/>
      <c r="D540" s="113" t="s">
        <v>551</v>
      </c>
      <c r="E540" s="114">
        <f>0.031*B540^1.5*B537^0.5</f>
        <v>0.26426215217467003</v>
      </c>
      <c r="F540" s="113"/>
      <c r="G540" s="113"/>
      <c r="H540" s="113"/>
      <c r="I540" s="113"/>
      <c r="J540" s="113"/>
      <c r="K540" s="113"/>
      <c r="L540" s="113"/>
      <c r="M540" s="113"/>
    </row>
    <row r="541" spans="1:13" x14ac:dyDescent="0.25">
      <c r="A541" s="113"/>
      <c r="B541" s="113"/>
      <c r="C541" s="113"/>
      <c r="D541" s="113"/>
      <c r="E541" s="113"/>
      <c r="F541" s="113"/>
      <c r="G541" s="113"/>
      <c r="H541" s="113"/>
      <c r="I541" s="113"/>
      <c r="J541" s="113"/>
      <c r="K541" s="113"/>
      <c r="L541" s="113"/>
      <c r="M541" s="113"/>
    </row>
    <row r="542" spans="1:13" x14ac:dyDescent="0.25">
      <c r="A542" s="113" t="s">
        <v>552</v>
      </c>
      <c r="B542" s="113">
        <f>0.12*(B540*(80*B539*B537)^0.33)</f>
        <v>0.52330762531798514</v>
      </c>
      <c r="C542" s="113"/>
      <c r="D542" s="113" t="s">
        <v>553</v>
      </c>
      <c r="E542" s="126">
        <f>B542*E538*B538/1000</f>
        <v>9785.8525934463214</v>
      </c>
      <c r="F542" s="113" t="s">
        <v>554</v>
      </c>
      <c r="G542" s="113">
        <f>E540*(E538*B538)/1000</f>
        <v>4941.7022456663299</v>
      </c>
      <c r="H542" s="113" t="s">
        <v>177</v>
      </c>
      <c r="I542" s="128" t="s">
        <v>555</v>
      </c>
      <c r="J542" s="113"/>
      <c r="K542" s="113"/>
      <c r="L542" s="113"/>
      <c r="M542" s="113"/>
    </row>
    <row r="543" spans="1:13" x14ac:dyDescent="0.25">
      <c r="A543" s="113"/>
      <c r="B543" s="113"/>
      <c r="C543" s="113"/>
      <c r="D543" s="113"/>
      <c r="E543" s="113"/>
      <c r="F543" s="113"/>
      <c r="G543" s="113"/>
      <c r="H543" s="113"/>
      <c r="I543" s="113"/>
      <c r="J543" s="113"/>
      <c r="K543" s="113"/>
      <c r="L543" s="113"/>
      <c r="M543" s="113"/>
    </row>
    <row r="544" spans="1:13" x14ac:dyDescent="0.25">
      <c r="A544" s="113"/>
      <c r="B544" s="113"/>
      <c r="C544" s="196"/>
      <c r="D544" s="197" t="s">
        <v>556</v>
      </c>
      <c r="E544" s="197" t="s">
        <v>195</v>
      </c>
      <c r="F544" s="196">
        <f>G505*I501</f>
        <v>19.8</v>
      </c>
      <c r="G544" s="198" t="s">
        <v>557</v>
      </c>
      <c r="H544" s="196">
        <f>0.001*F544*1000*1000</f>
        <v>19800</v>
      </c>
      <c r="I544" s="113"/>
      <c r="J544" s="113"/>
      <c r="K544" s="113"/>
      <c r="L544" s="113"/>
      <c r="M544" s="113"/>
    </row>
    <row r="545" spans="1:13" x14ac:dyDescent="0.25">
      <c r="A545" s="113"/>
      <c r="B545" s="196" t="s">
        <v>417</v>
      </c>
      <c r="C545" s="196">
        <v>16</v>
      </c>
      <c r="D545" s="196" t="s">
        <v>558</v>
      </c>
      <c r="E545" s="199">
        <f>PI()*C545^2/4</f>
        <v>201.06192982974676</v>
      </c>
      <c r="F545" s="196"/>
      <c r="G545" s="196"/>
      <c r="H545" s="199">
        <f>H544/E545</f>
        <v>98.477121038110241</v>
      </c>
      <c r="I545" s="113"/>
      <c r="J545" s="113"/>
      <c r="K545" s="113"/>
      <c r="L545" s="113"/>
      <c r="M545" s="113"/>
    </row>
    <row r="546" spans="1:13" x14ac:dyDescent="0.25">
      <c r="A546" s="113"/>
      <c r="B546" s="196"/>
      <c r="C546" s="196"/>
      <c r="D546" s="196"/>
      <c r="E546" s="196"/>
      <c r="F546" s="196"/>
      <c r="G546" s="196" t="s">
        <v>416</v>
      </c>
      <c r="H546" s="200">
        <f>G505*2*1000/H545</f>
        <v>223.40214425527418</v>
      </c>
      <c r="I546" s="113"/>
      <c r="J546" s="113"/>
      <c r="K546" s="113"/>
      <c r="L546" s="113"/>
      <c r="M546" s="113"/>
    </row>
    <row r="547" spans="1:13" x14ac:dyDescent="0.25">
      <c r="A547" s="113"/>
      <c r="B547" s="196"/>
      <c r="C547" s="196"/>
      <c r="D547" s="201" t="s">
        <v>418</v>
      </c>
      <c r="E547" s="202">
        <f>C545</f>
        <v>16</v>
      </c>
      <c r="F547" s="202" t="s">
        <v>559</v>
      </c>
      <c r="G547" s="202">
        <v>200</v>
      </c>
      <c r="H547" s="201" t="s">
        <v>266</v>
      </c>
      <c r="I547" s="113"/>
      <c r="J547" s="113"/>
      <c r="K547" s="113"/>
      <c r="L547" s="113"/>
      <c r="M547" s="113"/>
    </row>
    <row r="548" spans="1:13" x14ac:dyDescent="0.25">
      <c r="A548" s="113"/>
      <c r="B548" s="113"/>
      <c r="C548" s="113"/>
      <c r="D548" s="113"/>
      <c r="E548" s="113"/>
      <c r="F548" s="113"/>
      <c r="G548" s="113"/>
      <c r="H548" s="113"/>
      <c r="I548" s="113"/>
      <c r="J548" s="113"/>
      <c r="K548" s="113"/>
      <c r="L548" s="113"/>
      <c r="M548" s="113"/>
    </row>
    <row r="549" spans="1:13" x14ac:dyDescent="0.25">
      <c r="A549" s="113"/>
      <c r="B549" s="113"/>
      <c r="C549" s="113"/>
      <c r="D549" s="113"/>
      <c r="E549" s="113"/>
      <c r="F549" s="113"/>
      <c r="G549" s="113"/>
      <c r="H549" s="113"/>
      <c r="I549" s="113"/>
      <c r="J549" s="113"/>
      <c r="K549" s="113"/>
      <c r="L549" s="113"/>
      <c r="M549" s="113"/>
    </row>
  </sheetData>
  <mergeCells count="141">
    <mergeCell ref="F402:I402"/>
    <mergeCell ref="G265:H265"/>
    <mergeCell ref="L265:M265"/>
    <mergeCell ref="A323:B323"/>
    <mergeCell ref="A324:F324"/>
    <mergeCell ref="E287:H287"/>
    <mergeCell ref="A320:B320"/>
    <mergeCell ref="E320:F320"/>
    <mergeCell ref="A321:B321"/>
    <mergeCell ref="E321:F321"/>
    <mergeCell ref="A322:B322"/>
    <mergeCell ref="E322:F322"/>
    <mergeCell ref="E310:F310"/>
    <mergeCell ref="A319:B319"/>
    <mergeCell ref="E319:F319"/>
    <mergeCell ref="B304:C304"/>
    <mergeCell ref="B305:C305"/>
    <mergeCell ref="B306:C306"/>
    <mergeCell ref="B307:C307"/>
    <mergeCell ref="B308:C308"/>
    <mergeCell ref="E278:H278"/>
    <mergeCell ref="A289:B289"/>
    <mergeCell ref="A290:B290"/>
    <mergeCell ref="D328:D329"/>
    <mergeCell ref="K2:M2"/>
    <mergeCell ref="A82:C82"/>
    <mergeCell ref="A164:B164"/>
    <mergeCell ref="F165:G165"/>
    <mergeCell ref="H165:H166"/>
    <mergeCell ref="B113:C113"/>
    <mergeCell ref="B114:C114"/>
    <mergeCell ref="B115:C115"/>
    <mergeCell ref="B116:C116"/>
    <mergeCell ref="A119:C119"/>
    <mergeCell ref="C126:D126"/>
    <mergeCell ref="B99:C99"/>
    <mergeCell ref="A101:C101"/>
    <mergeCell ref="B102:C102"/>
    <mergeCell ref="A103:C103"/>
    <mergeCell ref="A106:C106"/>
    <mergeCell ref="B56:C56"/>
    <mergeCell ref="A72:C72"/>
    <mergeCell ref="B74:C74"/>
    <mergeCell ref="A91:C91"/>
    <mergeCell ref="A12:E12"/>
    <mergeCell ref="A94:C94"/>
    <mergeCell ref="A95:C95"/>
    <mergeCell ref="A96:C96"/>
    <mergeCell ref="B92:C92"/>
    <mergeCell ref="B79:C79"/>
    <mergeCell ref="B87:C87"/>
    <mergeCell ref="E36:F36"/>
    <mergeCell ref="E37:F37"/>
    <mergeCell ref="B42:C43"/>
    <mergeCell ref="D42:D43"/>
    <mergeCell ref="E42:E43"/>
    <mergeCell ref="F42:F43"/>
    <mergeCell ref="B44:C44"/>
    <mergeCell ref="B45:C45"/>
    <mergeCell ref="F178:H178"/>
    <mergeCell ref="C135:D135"/>
    <mergeCell ref="E137:G137"/>
    <mergeCell ref="C138:D138"/>
    <mergeCell ref="C149:D149"/>
    <mergeCell ref="B151:D151"/>
    <mergeCell ref="C154:D154"/>
    <mergeCell ref="B112:C112"/>
    <mergeCell ref="A93:C93"/>
    <mergeCell ref="A97:C97"/>
    <mergeCell ref="A98:C98"/>
    <mergeCell ref="A1:C1"/>
    <mergeCell ref="F2:G2"/>
    <mergeCell ref="A10:C10"/>
    <mergeCell ref="E10:F10"/>
    <mergeCell ref="A11:C11"/>
    <mergeCell ref="E11:F11"/>
    <mergeCell ref="A88:C88"/>
    <mergeCell ref="B90:C90"/>
    <mergeCell ref="B46:C46"/>
    <mergeCell ref="B48:C48"/>
    <mergeCell ref="A13:C13"/>
    <mergeCell ref="E35:F35"/>
    <mergeCell ref="B55:C55"/>
    <mergeCell ref="A14:C14"/>
    <mergeCell ref="D16:I16"/>
    <mergeCell ref="H22:J22"/>
    <mergeCell ref="B75:C75"/>
    <mergeCell ref="A77:C77"/>
    <mergeCell ref="B54:C54"/>
    <mergeCell ref="E328:E329"/>
    <mergeCell ref="A294:C294"/>
    <mergeCell ref="A296:C296"/>
    <mergeCell ref="A303:C303"/>
    <mergeCell ref="A297:C297"/>
    <mergeCell ref="A298:C298"/>
    <mergeCell ref="E263:H263"/>
    <mergeCell ref="B265:C265"/>
    <mergeCell ref="D187:E187"/>
    <mergeCell ref="F187:F188"/>
    <mergeCell ref="D200:F200"/>
    <mergeCell ref="C186:F186"/>
    <mergeCell ref="B220:C220"/>
    <mergeCell ref="B219:C219"/>
    <mergeCell ref="R187:S187"/>
    <mergeCell ref="R200:T200"/>
    <mergeCell ref="K187:L187"/>
    <mergeCell ref="M187:M188"/>
    <mergeCell ref="K200:M200"/>
    <mergeCell ref="J186:M186"/>
    <mergeCell ref="G215:J215"/>
    <mergeCell ref="B208:E208"/>
    <mergeCell ref="B216:D216"/>
    <mergeCell ref="L217:M217"/>
    <mergeCell ref="L218:M218"/>
    <mergeCell ref="H218:I218"/>
    <mergeCell ref="H219:I219"/>
    <mergeCell ref="B218:C218"/>
    <mergeCell ref="B469:E469"/>
    <mergeCell ref="F465:G465"/>
    <mergeCell ref="B452:C452"/>
    <mergeCell ref="B453:C453"/>
    <mergeCell ref="B454:C454"/>
    <mergeCell ref="B455:C455"/>
    <mergeCell ref="B451:D451"/>
    <mergeCell ref="J164:L164"/>
    <mergeCell ref="N164:O164"/>
    <mergeCell ref="C437:D437"/>
    <mergeCell ref="J437:K437"/>
    <mergeCell ref="I428:J428"/>
    <mergeCell ref="I429:J429"/>
    <mergeCell ref="H432:J432"/>
    <mergeCell ref="D405:E405"/>
    <mergeCell ref="K405:L405"/>
    <mergeCell ref="D404:F404"/>
    <mergeCell ref="K404:M404"/>
    <mergeCell ref="H433:J433"/>
    <mergeCell ref="L388:Q388"/>
    <mergeCell ref="D427:G427"/>
    <mergeCell ref="B310:C310"/>
    <mergeCell ref="C317:F317"/>
    <mergeCell ref="Q186:T18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abutment design</vt:lpstr>
      <vt:lpstr>Sheet2</vt:lpstr>
      <vt:lpstr>pile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2022-12-22T05:02:19Z</dcterms:created>
  <dcterms:modified xsi:type="dcterms:W3CDTF">2023-05-03T06:59:52Z</dcterms:modified>
</cp:coreProperties>
</file>